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Tracker" sheetId="1" state="visible" r:id="rId3"/>
    <sheet name="RAID Log" sheetId="2" state="visible" r:id="rId4"/>
    <sheet name="Resourcing" sheetId="3" state="visible" r:id="rId5"/>
    <sheet name="Budget vs Actuals" sheetId="4" state="visible" r:id="rId6"/>
  </sheets>
  <definedNames>
    <definedName function="false" hidden="true" localSheetId="3" name="_xlnm._FilterDatabase" vbProcedure="false">'Budget vs Actuals'!$A$4:$L$32</definedName>
    <definedName function="false" hidden="true" localSheetId="0" name="_xlnm._FilterDatabase" vbProcedure="false">'Portfolio Tracker'!$A$4:$V$16</definedName>
    <definedName function="false" hidden="true" localSheetId="1" name="_xlnm._FilterDatabase" vbProcedure="false">'RAID Log'!$A$4:$N$36</definedName>
    <definedName function="false" hidden="true" localSheetId="2" name="_xlnm._FilterDatabase" vbProcedure="false">Resourcing!$A$4:$L$65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<sst xmlns="http://schemas.openxmlformats.org/spreadsheetml/2006/main" count="1122" uniqueCount="320">
  <si>
    <t xml:space="preserve">Programme Portfolio – RAG Status Tracker</t>
  </si>
  <si>
    <t xml:space="preserve">Bajaj Finserv  |  CoE &amp; Technology Project Management Office   —   Reporting period FY2026-27 Q1   |   As of 31 May 2026</t>
  </si>
  <si>
    <t xml:space="preserve">Programme Code</t>
  </si>
  <si>
    <t xml:space="preserve">Programme Name</t>
  </si>
  <si>
    <t xml:space="preserve">Business Line</t>
  </si>
  <si>
    <t xml:space="preserve">Executive Sponsor</t>
  </si>
  <si>
    <t xml:space="preserve">PMO Lead</t>
  </si>
  <si>
    <t xml:space="preserve">Delivery Partner</t>
  </si>
  <si>
    <t xml:space="preserve">Stage Gate</t>
  </si>
  <si>
    <t xml:space="preserve">Start Date</t>
  </si>
  <si>
    <t xml:space="preserve">Baseline Go-Live</t>
  </si>
  <si>
    <t xml:space="preserve">Forecast Go-Live</t>
  </si>
  <si>
    <t xml:space="preserve">% Complete</t>
  </si>
  <si>
    <t xml:space="preserve">Schedule RAG</t>
  </si>
  <si>
    <t xml:space="preserve">Budget RAG</t>
  </si>
  <si>
    <t xml:space="preserve">Scope RAG</t>
  </si>
  <si>
    <t xml:space="preserve">Overall RAG</t>
  </si>
  <si>
    <t xml:space="preserve">Open RAID</t>
  </si>
  <si>
    <t xml:space="preserve">P1 Open</t>
  </si>
  <si>
    <t xml:space="preserve">Budget (₹ Cr)</t>
  </si>
  <si>
    <t xml:space="preserve">Actual (₹ Cr)</t>
  </si>
  <si>
    <t xml:space="preserve">% Budget Used</t>
  </si>
  <si>
    <t xml:space="preserve">Last Updated</t>
  </si>
  <si>
    <t xml:space="preserve">Status Commentary</t>
  </si>
  <si>
    <t xml:space="preserve">BFS-LND-001</t>
  </si>
  <si>
    <t xml:space="preserve">Core Lending Platform Migration – Phase 2 (Commercial &amp; SME)</t>
  </si>
  <si>
    <t xml:space="preserve">Lending</t>
  </si>
  <si>
    <t xml:space="preserve">Priya Venkat</t>
  </si>
  <si>
    <t xml:space="preserve">Pavan Deshpande</t>
  </si>
  <si>
    <t xml:space="preserve">Pennant Technologies</t>
  </si>
  <si>
    <t xml:space="preserve">G5 – Hypercare</t>
  </si>
  <si>
    <t xml:space="preserve">Amber</t>
  </si>
  <si>
    <t xml:space="preserve">Green</t>
  </si>
  <si>
    <t xml:space="preserve">Commercial/SME ledger live; dual-run recon underway, hypercare defects trending down.</t>
  </si>
  <si>
    <t xml:space="preserve">BFS-AI-002</t>
  </si>
  <si>
    <t xml:space="preserve">FinAI – Conversational AI for Sales (BFL 3.0)</t>
  </si>
  <si>
    <t xml:space="preserve">Sales / Enterprise</t>
  </si>
  <si>
    <t xml:space="preserve">Vivek Malhotra</t>
  </si>
  <si>
    <t xml:space="preserve">Sneha Iyer</t>
  </si>
  <si>
    <t xml:space="preserve">In-house + Nagarro</t>
  </si>
  <si>
    <t xml:space="preserve">G3 – Build</t>
  </si>
  <si>
    <t xml:space="preserve">On track; guardrail design for product-claim compliance in progress.</t>
  </si>
  <si>
    <t xml:space="preserve">BFS-AI-003</t>
  </si>
  <si>
    <t xml:space="preserve">FinAI – Explainable AI for Risk &amp; Underwriting</t>
  </si>
  <si>
    <t xml:space="preserve">Risk</t>
  </si>
  <si>
    <t xml:space="preserve">Meera Krishnan</t>
  </si>
  <si>
    <t xml:space="preserve">Kavita Rao</t>
  </si>
  <si>
    <t xml:space="preserve">In-house</t>
  </si>
  <si>
    <t xml:space="preserve">G4 – Test/UAT</t>
  </si>
  <si>
    <t xml:space="preserve">Model interpretability for RCU sign-off is the gating item; latency tuning ongoing.</t>
  </si>
  <si>
    <t xml:space="preserve">BFS-AI-004</t>
  </si>
  <si>
    <t xml:space="preserve">FinAI – Copilot/Autopilot in Operations &amp; Service</t>
  </si>
  <si>
    <t xml:space="preserve">Operations</t>
  </si>
  <si>
    <t xml:space="preserve">Anil Saxena</t>
  </si>
  <si>
    <t xml:space="preserve">Rohan Mehta</t>
  </si>
  <si>
    <t xml:space="preserve">Maker-checker controls for autopilot actions under definition.</t>
  </si>
  <si>
    <t xml:space="preserve">BFS-CLD-005</t>
  </si>
  <si>
    <t xml:space="preserve">Oracle Cloud Infrastructure Migration – Wave 2</t>
  </si>
  <si>
    <t xml:space="preserve">Enterprise</t>
  </si>
  <si>
    <t xml:space="preserve">Rajeev Khanna</t>
  </si>
  <si>
    <t xml:space="preserve">Arjun Nair</t>
  </si>
  <si>
    <t xml:space="preserve">Oracle</t>
  </si>
  <si>
    <t xml:space="preserve">Red</t>
  </si>
  <si>
    <t xml:space="preserve">Slipped 3 months: network latency + Oracle SME ramp + cloud spend overrun. Escalated.</t>
  </si>
  <si>
    <t xml:space="preserve">BFS-DCX-006</t>
  </si>
  <si>
    <t xml:space="preserve">Bajaj Finserv Super-App Re-platform</t>
  </si>
  <si>
    <t xml:space="preserve">Digital</t>
  </si>
  <si>
    <t xml:space="preserve">Sanjay Bhandari</t>
  </si>
  <si>
    <t xml:space="preserve">Nagarro</t>
  </si>
  <si>
    <t xml:space="preserve">Front-end pod under-staffed; low-end Android performance below benchmark.</t>
  </si>
  <si>
    <t xml:space="preserve">BFS-CMP-007</t>
  </si>
  <si>
    <t xml:space="preserve">AML Uplift – Azentio Amlock Upgrade</t>
  </si>
  <si>
    <t xml:space="preserve">Compliance</t>
  </si>
  <si>
    <t xml:space="preserve">Imran Sheikh</t>
  </si>
  <si>
    <t xml:space="preserve">Azentio</t>
  </si>
  <si>
    <t xml:space="preserve">UAT progressing; false-positive tuning and FIU-IND format validation pending.</t>
  </si>
  <si>
    <t xml:space="preserve">BFS-GRN-008</t>
  </si>
  <si>
    <t xml:space="preserve">Green Finance – Solar &amp; EV Financing Onboarding</t>
  </si>
  <si>
    <t xml:space="preserve">G2 – Planning</t>
  </si>
  <si>
    <t xml:space="preserve">Planning phase; partner-API discovery for asset valuation underway.</t>
  </si>
  <si>
    <t xml:space="preserve">BFS-DLO-009</t>
  </si>
  <si>
    <t xml:space="preserve">Digital Loan Origination System Upgrade</t>
  </si>
  <si>
    <t xml:space="preserve">In-house + Pennant</t>
  </si>
  <si>
    <t xml:space="preserve">Scope creep (6 product variants) + RBI DLG KFS compliance gap; Pennant disbursal API pending.</t>
  </si>
  <si>
    <t xml:space="preserve">BFS-OBS-010</t>
  </si>
  <si>
    <t xml:space="preserve">Observability Rollout – New Relic APM</t>
  </si>
  <si>
    <t xml:space="preserve">New Relic</t>
  </si>
  <si>
    <t xml:space="preserve">Live; SLO-based alerting adopted, alert-noise issue closed.</t>
  </si>
  <si>
    <t xml:space="preserve">BFS-CX-011</t>
  </si>
  <si>
    <t xml:space="preserve">Adobe Experience Cloud – Campaign Personalisation</t>
  </si>
  <si>
    <t xml:space="preserve">Marketing</t>
  </si>
  <si>
    <t xml:space="preserve">Adobe</t>
  </si>
  <si>
    <t xml:space="preserve">Depends on Customer 360 segments; interim use of existing CDP.</t>
  </si>
  <si>
    <t xml:space="preserve">BFS-DAT-012</t>
  </si>
  <si>
    <t xml:space="preserve">Customer 360 Data Platform</t>
  </si>
  <si>
    <t xml:space="preserve">Data</t>
  </si>
  <si>
    <t xml:space="preserve">Golden-record match 82% vs 95%; ~22% over budget; key-person risk on data architect.</t>
  </si>
  <si>
    <t xml:space="preserve">Illustrative training data — fictional figures and names built on publicly reported Bajaj Finserv transformation themes (Pennant pennApps migration, BFL 3.0 FinAI, OCI 2025, Customer 360). Not actual company data.</t>
  </si>
  <si>
    <t xml:space="preserve">RAID Log – Risks, Assumptions, Issues &amp; Dependencies</t>
  </si>
  <si>
    <t xml:space="preserve">RAID ID</t>
  </si>
  <si>
    <t xml:space="preserve">Type</t>
  </si>
  <si>
    <t xml:space="preserve">Category</t>
  </si>
  <si>
    <t xml:space="preserve">Description</t>
  </si>
  <si>
    <t xml:space="preserve">Raised Date</t>
  </si>
  <si>
    <t xml:space="preserve">Owner</t>
  </si>
  <si>
    <t xml:space="preserve">Probability</t>
  </si>
  <si>
    <t xml:space="preserve">Impact</t>
  </si>
  <si>
    <t xml:space="preserve">Priority</t>
  </si>
  <si>
    <t xml:space="preserve">Status</t>
  </si>
  <si>
    <t xml:space="preserve">Target Resolution</t>
  </si>
  <si>
    <t xml:space="preserve">Mitigation / Action</t>
  </si>
  <si>
    <t xml:space="preserve">Last Reviewed</t>
  </si>
  <si>
    <t xml:space="preserve">R-001</t>
  </si>
  <si>
    <t xml:space="preserve">Reconciliation variance of 0.3% on commercial loan ledger during Phase 2 cutover</t>
  </si>
  <si>
    <t xml:space="preserve">Farah Khan</t>
  </si>
  <si>
    <t xml:space="preserve">Medium</t>
  </si>
  <si>
    <t xml:space="preserve">High</t>
  </si>
  <si>
    <t xml:space="preserve">P2</t>
  </si>
  <si>
    <t xml:space="preserve">Mitigating</t>
  </si>
  <si>
    <t xml:space="preserve">Daily recon scripts + dual-run with legacy LMS for 2 cycles</t>
  </si>
  <si>
    <t xml:space="preserve">R-002</t>
  </si>
  <si>
    <t xml:space="preserve">Dependency</t>
  </si>
  <si>
    <t xml:space="preserve">Vendor</t>
  </si>
  <si>
    <t xml:space="preserve">Pennant hypercare extension SOW required before legacy LMS decommission</t>
  </si>
  <si>
    <t xml:space="preserve">–</t>
  </si>
  <si>
    <t xml:space="preserve">Open</t>
  </si>
  <si>
    <t xml:space="preserve">SOW under legal review; escalated to vendor management</t>
  </si>
  <si>
    <t xml:space="preserve">R-003</t>
  </si>
  <si>
    <t xml:space="preserve">Issue</t>
  </si>
  <si>
    <t xml:space="preserve">Technical</t>
  </si>
  <si>
    <t xml:space="preserve">Batch EOD job runtime exceeds SLA window by ~40 min post-migration</t>
  </si>
  <si>
    <t xml:space="preserve">Sandeep Reddy</t>
  </si>
  <si>
    <t xml:space="preserve">P3</t>
  </si>
  <si>
    <t xml:space="preserve">In Progress</t>
  </si>
  <si>
    <t xml:space="preserve">Query tuning + partition strategy with Pennant</t>
  </si>
  <si>
    <t xml:space="preserve">R-004</t>
  </si>
  <si>
    <t xml:space="preserve">Regulatory</t>
  </si>
  <si>
    <t xml:space="preserve">Explainable-AI interpretability not meeting RCU/audit threshold for adverse-action reasons</t>
  </si>
  <si>
    <t xml:space="preserve">Harish Bhat</t>
  </si>
  <si>
    <t xml:space="preserve">P1</t>
  </si>
  <si>
    <t xml:space="preserve">SHAP-based reason codes + model-risk sign-off with CRO office</t>
  </si>
  <si>
    <t xml:space="preserve">R-005</t>
  </si>
  <si>
    <t xml:space="preserve">Assumption</t>
  </si>
  <si>
    <t xml:space="preserve">Assumes 24 months of clean bureau + behavioural data available for training</t>
  </si>
  <si>
    <t xml:space="preserve">Data-quality assessment in progress</t>
  </si>
  <si>
    <t xml:space="preserve">R-006</t>
  </si>
  <si>
    <t xml:space="preserve">OCI network latency to on-prem core breaching 20ms target for synchronous calls</t>
  </si>
  <si>
    <t xml:space="preserve">George Mathew</t>
  </si>
  <si>
    <t xml:space="preserve">FastConnect dedicated link + workload re-architecture</t>
  </si>
  <si>
    <t xml:space="preserve">R-007</t>
  </si>
  <si>
    <t xml:space="preserve">Oracle implementation resource ramp behind plan; 3 of 8 SMEs unfilled</t>
  </si>
  <si>
    <t xml:space="preserve">Escalated to Oracle delivery exec; backfill from partner pool</t>
  </si>
  <si>
    <t xml:space="preserve">R-008</t>
  </si>
  <si>
    <t xml:space="preserve">Financial</t>
  </si>
  <si>
    <t xml:space="preserve">Cloud consumption tracking ahead of budget; FinOps guardrails not yet enforced</t>
  </si>
  <si>
    <t xml:space="preserve">Neha Kulkarni</t>
  </si>
  <si>
    <t xml:space="preserve">Budget alerts + tagging policy + monthly FinOps review</t>
  </si>
  <si>
    <t xml:space="preserve">R-009</t>
  </si>
  <si>
    <t xml:space="preserve">Security</t>
  </si>
  <si>
    <t xml:space="preserve">InfoSec cloud security baseline sign-off pending before Wave 2 prod cutover</t>
  </si>
  <si>
    <t xml:space="preserve">Security review scheduled; CCM controls mapping underway</t>
  </si>
  <si>
    <t xml:space="preserve">R-010</t>
  </si>
  <si>
    <t xml:space="preserve">Customer master golden-record match rate at 82% vs 95% target</t>
  </si>
  <si>
    <t xml:space="preserve">Tuning match-merge rules + manual stewardship for top accounts</t>
  </si>
  <si>
    <t xml:space="preserve">R-011</t>
  </si>
  <si>
    <t xml:space="preserve">Resource</t>
  </si>
  <si>
    <t xml:space="preserve">Single data-architect dependency creating key-person risk across DAT-012 and AI-003</t>
  </si>
  <si>
    <t xml:space="preserve">Anuradha Kulkarni</t>
  </si>
  <si>
    <t xml:space="preserve">Onboard second architect; knowledge-transfer plan</t>
  </si>
  <si>
    <t xml:space="preserve">R-012</t>
  </si>
  <si>
    <t xml:space="preserve">Forecast at completion trending ~22% over budget due to extended data remediation</t>
  </si>
  <si>
    <t xml:space="preserve">Re-baseline + change request to steering committee</t>
  </si>
  <si>
    <t xml:space="preserve">R-013</t>
  </si>
  <si>
    <t xml:space="preserve">Customer 360 depends on OCI Wave 2 landing zone (BFS-CLD-005)</t>
  </si>
  <si>
    <t xml:space="preserve">Joint milestone tracking with CLD-005; contingency on-prem staging</t>
  </si>
  <si>
    <t xml:space="preserve">R-014</t>
  </si>
  <si>
    <t xml:space="preserve">Scope</t>
  </si>
  <si>
    <t xml:space="preserve">Scope creep: 6 additional product variants requested by business post-baseline</t>
  </si>
  <si>
    <t xml:space="preserve">Change control; defer 3 variants to Phase 2</t>
  </si>
  <si>
    <t xml:space="preserve">R-015</t>
  </si>
  <si>
    <t xml:space="preserve">RBI Digital Lending Guidelines (DLG) KFS auto-generation not fully compliant in build</t>
  </si>
  <si>
    <t xml:space="preserve">Compliance walkthrough + KFS template rework</t>
  </si>
  <si>
    <t xml:space="preserve">R-016</t>
  </si>
  <si>
    <t xml:space="preserve">Pennant instant-disbursal API pending; blocks end-to-end UAT</t>
  </si>
  <si>
    <t xml:space="preserve">Vendor commitment for sandbox by mid-June</t>
  </si>
  <si>
    <t xml:space="preserve">R-017</t>
  </si>
  <si>
    <t xml:space="preserve">Super-app performance on low-end Android devices below benchmark</t>
  </si>
  <si>
    <t xml:space="preserve">Performance profiling + lazy-loading + APK size reduction</t>
  </si>
  <si>
    <t xml:space="preserve">R-018</t>
  </si>
  <si>
    <t xml:space="preserve">Nagarro front-end pod under-staffed by 2 React engineers</t>
  </si>
  <si>
    <t xml:space="preserve">Vendor backfill commitment; interim load balancing</t>
  </si>
  <si>
    <t xml:space="preserve">R-019</t>
  </si>
  <si>
    <t xml:space="preserve">Assumes existing API gateway can handle 2x peak transaction volume</t>
  </si>
  <si>
    <t xml:space="preserve">Load test planned in UAT</t>
  </si>
  <si>
    <t xml:space="preserve">R-020</t>
  </si>
  <si>
    <t xml:space="preserve">Conversational AI responses need guardrails for mis-selling / product claims</t>
  </si>
  <si>
    <t xml:space="preserve">Guardrail prompts + human-in-loop review + DPDP alignment</t>
  </si>
  <si>
    <t xml:space="preserve">R-021</t>
  </si>
  <si>
    <t xml:space="preserve">Assumes consent captured to use chat transcripts in fine-tuning (DPDP)</t>
  </si>
  <si>
    <t xml:space="preserve">Deepa Menon</t>
  </si>
  <si>
    <t xml:space="preserve">Legal review of consent flows</t>
  </si>
  <si>
    <t xml:space="preserve">R-022</t>
  </si>
  <si>
    <t xml:space="preserve">Autopilot scope for high-risk ops actions needs maker-checker controls</t>
  </si>
  <si>
    <t xml:space="preserve">Define control matrix; restrict autopilot to low-risk actions in P1</t>
  </si>
  <si>
    <t xml:space="preserve">R-023</t>
  </si>
  <si>
    <t xml:space="preserve">Amlock upgrade false-positive alert rate up ~15% in UAT</t>
  </si>
  <si>
    <t xml:space="preserve">Threshold tuning with Azentio + scenario calibration</t>
  </si>
  <si>
    <t xml:space="preserve">R-024</t>
  </si>
  <si>
    <t xml:space="preserve">FIU-IND reporting format validation sign-off needed before go-live</t>
  </si>
  <si>
    <t xml:space="preserve">Compliance validation scheduled</t>
  </si>
  <si>
    <t xml:space="preserve">R-025</t>
  </si>
  <si>
    <t xml:space="preserve">Assumes solar/EV partner APIs available for asset valuation at onboarding</t>
  </si>
  <si>
    <t xml:space="preserve">Partner-API discovery in planning phase</t>
  </si>
  <si>
    <t xml:space="preserve">R-026</t>
  </si>
  <si>
    <t xml:space="preserve">Shared BA capacity across GRN-008 and DLO-009 may delay requirements sign-off</t>
  </si>
  <si>
    <t xml:space="preserve">Sequence requirements; add contractor BA</t>
  </si>
  <si>
    <t xml:space="preserve">R-027</t>
  </si>
  <si>
    <t xml:space="preserve">Hypercare team fatigue; extended on-call since Phase 1</t>
  </si>
  <si>
    <t xml:space="preserve">Rotation plan + ramp-down as defects stabilise</t>
  </si>
  <si>
    <t xml:space="preserve">R-028</t>
  </si>
  <si>
    <t xml:space="preserve">Alert noise during initial APM rollout causing on-call fatigue</t>
  </si>
  <si>
    <t xml:space="preserve">Low</t>
  </si>
  <si>
    <t xml:space="preserve">P4</t>
  </si>
  <si>
    <t xml:space="preserve">Closed</t>
  </si>
  <si>
    <t xml:space="preserve">Alert tuning completed; SLO-based alerting adopted</t>
  </si>
  <si>
    <t xml:space="preserve">R-029</t>
  </si>
  <si>
    <t xml:space="preserve">Segmentation data freshness lag impacting campaign personalisation accuracy</t>
  </si>
  <si>
    <t xml:space="preserve">Near-real-time feed from Customer 360 once available</t>
  </si>
  <si>
    <t xml:space="preserve">R-030</t>
  </si>
  <si>
    <t xml:space="preserve">Depends on Customer 360 (DAT-012) for unified customer segments</t>
  </si>
  <si>
    <t xml:space="preserve">Interim use of existing CDP segments</t>
  </si>
  <si>
    <t xml:space="preserve">R-031</t>
  </si>
  <si>
    <t xml:space="preserve">Model latency ~800ms exceeds 300ms target for real-time underwriting</t>
  </si>
  <si>
    <t xml:space="preserve">Model optimisation + feature-store caching</t>
  </si>
  <si>
    <t xml:space="preserve">R-032</t>
  </si>
  <si>
    <t xml:space="preserve">Forecast at completion ~8% over budget due to scope additions</t>
  </si>
  <si>
    <t xml:space="preserve">Change control + budget re-forecast</t>
  </si>
  <si>
    <t xml:space="preserve">Resource &amp; Capacity Allocation</t>
  </si>
  <si>
    <t xml:space="preserve">Resource Name</t>
  </si>
  <si>
    <t xml:space="preserve">Role</t>
  </si>
  <si>
    <t xml:space="preserve">Band</t>
  </si>
  <si>
    <t xml:space="preserve">Base Location</t>
  </si>
  <si>
    <t xml:space="preserve">Employment</t>
  </si>
  <si>
    <t xml:space="preserve">Allocation %</t>
  </si>
  <si>
    <t xml:space="preserve">Total Alloc % (person)</t>
  </si>
  <si>
    <t xml:space="preserve">Period Start</t>
  </si>
  <si>
    <t xml:space="preserve">Period End</t>
  </si>
  <si>
    <t xml:space="preserve">PMO Head</t>
  </si>
  <si>
    <t xml:space="preserve">M5</t>
  </si>
  <si>
    <t xml:space="preserve">Pune</t>
  </si>
  <si>
    <t xml:space="preserve">Permanent</t>
  </si>
  <si>
    <t xml:space="preserve">Senior Project Manager</t>
  </si>
  <si>
    <t xml:space="preserve">M3</t>
  </si>
  <si>
    <t xml:space="preserve">Project Manager</t>
  </si>
  <si>
    <t xml:space="preserve">M2</t>
  </si>
  <si>
    <t xml:space="preserve">Mumbai</t>
  </si>
  <si>
    <t xml:space="preserve">Bengaluru</t>
  </si>
  <si>
    <t xml:space="preserve">Business Analyst Lead</t>
  </si>
  <si>
    <t xml:space="preserve">Vikram Joshi</t>
  </si>
  <si>
    <t xml:space="preserve">Business Analyst</t>
  </si>
  <si>
    <t xml:space="preserve">M1</t>
  </si>
  <si>
    <t xml:space="preserve">Pooja Shah</t>
  </si>
  <si>
    <t xml:space="preserve">Nilesh Patil</t>
  </si>
  <si>
    <t xml:space="preserve">PMO Coordinator</t>
  </si>
  <si>
    <t xml:space="preserve">Ritu Agarwal</t>
  </si>
  <si>
    <t xml:space="preserve">Solution Architect</t>
  </si>
  <si>
    <t xml:space="preserve">Data Architect</t>
  </si>
  <si>
    <t xml:space="preserve">Karthik Subramanian</t>
  </si>
  <si>
    <t xml:space="preserve">QA Lead</t>
  </si>
  <si>
    <t xml:space="preserve">Megha Gupta</t>
  </si>
  <si>
    <t xml:space="preserve">Scrum Master</t>
  </si>
  <si>
    <t xml:space="preserve">Aditya Verma</t>
  </si>
  <si>
    <t xml:space="preserve">Tara D'Souza</t>
  </si>
  <si>
    <t xml:space="preserve">Change &amp; Comms Lead</t>
  </si>
  <si>
    <t xml:space="preserve">Risk &amp; Compliance Liaison</t>
  </si>
  <si>
    <t xml:space="preserve">Finance Controller (PMO)</t>
  </si>
  <si>
    <t xml:space="preserve">Ramesh Iyengar</t>
  </si>
  <si>
    <t xml:space="preserve">Delivery Lead</t>
  </si>
  <si>
    <t xml:space="preserve">Hyderabad</t>
  </si>
  <si>
    <t xml:space="preserve">Pennant</t>
  </si>
  <si>
    <t xml:space="preserve">Lakshmi Narayan</t>
  </si>
  <si>
    <t xml:space="preserve">Cloud Architect</t>
  </si>
  <si>
    <t xml:space="preserve">Aakash Pillai</t>
  </si>
  <si>
    <t xml:space="preserve">DevOps Engineer</t>
  </si>
  <si>
    <t xml:space="preserve">Budget vs Actuals – Programme &amp; Vendor Spend (₹ Crore)</t>
  </si>
  <si>
    <t xml:space="preserve">Vendor / Partner</t>
  </si>
  <si>
    <t xml:space="preserve">Capex / Opex</t>
  </si>
  <si>
    <t xml:space="preserve">Cost Type</t>
  </si>
  <si>
    <t xml:space="preserve">Budget FY26-27 (₹ Cr)</t>
  </si>
  <si>
    <t xml:space="preserve">Committed PO (₹ Cr)</t>
  </si>
  <si>
    <t xml:space="preserve">Actual to Date (₹ Cr)</t>
  </si>
  <si>
    <t xml:space="preserve">Forecast at Completion (₹ Cr)</t>
  </si>
  <si>
    <t xml:space="preserve">Variance (₹ Cr)</t>
  </si>
  <si>
    <t xml:space="preserve">Variance %</t>
  </si>
  <si>
    <t xml:space="preserve">PO Number</t>
  </si>
  <si>
    <t xml:space="preserve">Capex</t>
  </si>
  <si>
    <t xml:space="preserve">Implementation</t>
  </si>
  <si>
    <t xml:space="preserve">PO-2025-0481</t>
  </si>
  <si>
    <t xml:space="preserve">Opex</t>
  </si>
  <si>
    <t xml:space="preserve">License &amp; AMC</t>
  </si>
  <si>
    <t xml:space="preserve">PO-2025-0482</t>
  </si>
  <si>
    <t xml:space="preserve">Resourcing</t>
  </si>
  <si>
    <t xml:space="preserve">PO-2025-0533</t>
  </si>
  <si>
    <t xml:space="preserve">AWS</t>
  </si>
  <si>
    <t xml:space="preserve">Cloud Consumption</t>
  </si>
  <si>
    <t xml:space="preserve">PO-2026-0114</t>
  </si>
  <si>
    <t xml:space="preserve">PO-2025-0501</t>
  </si>
  <si>
    <t xml:space="preserve">PO-2025-0560</t>
  </si>
  <si>
    <t xml:space="preserve">License &amp; Upgrade</t>
  </si>
  <si>
    <t xml:space="preserve">PO-2025-0470</t>
  </si>
  <si>
    <t xml:space="preserve">Partner (TBC)</t>
  </si>
  <si>
    <t xml:space="preserve">Integration</t>
  </si>
  <si>
    <t xml:space="preserve">API &amp; Integration</t>
  </si>
  <si>
    <t xml:space="preserve">PO-2025-0512</t>
  </si>
  <si>
    <t xml:space="preserve">License</t>
  </si>
  <si>
    <t xml:space="preserve">PO-2025-0455</t>
  </si>
  <si>
    <t xml:space="preserve">PO-2025-0548</t>
  </si>
  <si>
    <t xml:space="preserve">PO-2025-0561</t>
  </si>
  <si>
    <t xml:space="preserve">TOTAL — FY2026-27 portfolio</t>
  </si>
  <si>
    <t xml:space="preserve">Capex = capital expenditure; Opex = operating expenditure. Negative variance (in brackets) = forecast over budget. Illustrative training data — not actual Bajaj Finserv figures.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</si>
</sst>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0%"/>
    <numFmt numFmtId="167" formatCode="#,##0.0"/>
    <numFmt numFmtId="168" formatCode="0.0%"/>
    <numFmt numFmtId="169" formatCode="#,##0.0;\(#,##0.0\)"/>
    <numFmt numFmtId="170" formatCode="0.0%;\(0.0%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9E1F2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5" min="4" style="0" width="17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10" min="8" style="0" width="13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7"/>
    <col collapsed="false" customWidth="true" hidden="false" outlineLevel="0" max="20" min="18" style="0" width="11"/>
    <col collapsed="false" customWidth="true" hidden="false" outlineLevel="0" max="21" min="21" style="0" width="13"/>
    <col collapsed="false" customWidth="true" hidden="false" outlineLevel="0" max="22" min="22" style="0" width="5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37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22.35" hidden="false" customHeight="false" outlineLevel="0" collapsed="false">
      <c r="A5" s="4" t="s">
        <v>24</v>
      </c>
      <c r="B5" s="5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7" t="s">
        <v>30</v>
      </c>
      <c r="H5" s="8" t="n">
        <v>45870</v>
      </c>
      <c r="I5" s="8" t="n">
        <v>46142</v>
      </c>
      <c r="J5" s="8" t="n">
        <v>46188</v>
      </c>
      <c r="K5" s="9" t="n">
        <v>0.88</v>
      </c>
      <c r="L5" s="10" t="s">
        <v>31</v>
      </c>
      <c r="M5" s="10" t="s">
        <v>31</v>
      </c>
      <c r="N5" s="10" t="s">
        <v>32</v>
      </c>
      <c r="O5" s="10" t="str">
        <f aca="false">IF(OR(L5="Red",M5="Red",N5="Red"),"Red",IF(OR(L5="Amber",M5="Amber",N5="Amber"),"Amber","Green"))</f>
        <v>Amber</v>
      </c>
      <c r="P5" s="7" t="n">
        <f aca="false">COUNTIFS('RAID Log'!$B$5:$B$36,$A5,'RAID Log'!$K$5:$K$36,"&lt;&gt;Closed")</f>
        <v>4</v>
      </c>
      <c r="Q5" s="7" t="n">
        <f aca="false">COUNTIFS('RAID Log'!$B$5:$B$36,$A5,'RAID Log'!$J$5:$J$36,"P1",'RAID Log'!$K$5:$K$36,"&lt;&gt;Closed")</f>
        <v>0</v>
      </c>
      <c r="R5" s="11" t="n">
        <f aca="false">SUMIFS('Budget vs Actuals'!$F$5:$F$32,'Budget vs Actuals'!$A$5:$A$32,$A5)</f>
        <v>28.5</v>
      </c>
      <c r="S5" s="11" t="n">
        <f aca="false">SUMIFS('Budget vs Actuals'!$H$5:$H$32,'Budget vs Actuals'!$A$5:$A$32,$A5)</f>
        <v>23.5</v>
      </c>
      <c r="T5" s="12" t="n">
        <f aca="false">IF(R5=0,0,S5/R5)</f>
        <v>0.824561403508772</v>
      </c>
      <c r="U5" s="8" t="n">
        <v>46172</v>
      </c>
      <c r="V5" s="5" t="s">
        <v>33</v>
      </c>
    </row>
    <row r="6" customFormat="false" ht="15" hidden="false" customHeight="false" outlineLevel="0" collapsed="false">
      <c r="A6" s="4" t="s">
        <v>34</v>
      </c>
      <c r="B6" s="5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7" t="s">
        <v>40</v>
      </c>
      <c r="H6" s="8" t="n">
        <v>45962</v>
      </c>
      <c r="I6" s="8" t="n">
        <v>46295</v>
      </c>
      <c r="J6" s="8" t="n">
        <v>46295</v>
      </c>
      <c r="K6" s="9" t="n">
        <v>0.45</v>
      </c>
      <c r="L6" s="10" t="s">
        <v>32</v>
      </c>
      <c r="M6" s="10" t="s">
        <v>32</v>
      </c>
      <c r="N6" s="10" t="s">
        <v>32</v>
      </c>
      <c r="O6" s="10" t="str">
        <f aca="false">IF(OR(L6="Red",M6="Red",N6="Red"),"Red",IF(OR(L6="Amber",M6="Amber",N6="Amber"),"Amber","Green"))</f>
        <v>Green</v>
      </c>
      <c r="P6" s="7" t="n">
        <f aca="false">COUNTIFS('RAID Log'!$B$5:$B$36,$A6,'RAID Log'!$K$5:$K$36,"&lt;&gt;Closed")</f>
        <v>2</v>
      </c>
      <c r="Q6" s="7" t="n">
        <f aca="false">COUNTIFS('RAID Log'!$B$5:$B$36,$A6,'RAID Log'!$J$5:$J$36,"P1",'RAID Log'!$K$5:$K$36,"&lt;&gt;Closed")</f>
        <v>0</v>
      </c>
      <c r="R6" s="11" t="n">
        <f aca="false">SUMIFS('Budget vs Actuals'!$F$5:$F$32,'Budget vs Actuals'!$A$5:$A$32,$A6)</f>
        <v>11</v>
      </c>
      <c r="S6" s="11" t="n">
        <f aca="false">SUMIFS('Budget vs Actuals'!$H$5:$H$32,'Budget vs Actuals'!$A$5:$A$32,$A6)</f>
        <v>4.4</v>
      </c>
      <c r="T6" s="12" t="n">
        <f aca="false">IF(R6=0,0,S6/R6)</f>
        <v>0.4</v>
      </c>
      <c r="U6" s="8" t="n">
        <v>46172</v>
      </c>
      <c r="V6" s="5" t="s">
        <v>41</v>
      </c>
    </row>
    <row r="7" customFormat="false" ht="22.35" hidden="false" customHeight="false" outlineLevel="0" collapsed="false">
      <c r="A7" s="4" t="s">
        <v>42</v>
      </c>
      <c r="B7" s="5" t="s">
        <v>43</v>
      </c>
      <c r="C7" s="6" t="s">
        <v>44</v>
      </c>
      <c r="D7" s="6" t="s">
        <v>45</v>
      </c>
      <c r="E7" s="6" t="s">
        <v>46</v>
      </c>
      <c r="F7" s="6" t="s">
        <v>47</v>
      </c>
      <c r="G7" s="7" t="s">
        <v>48</v>
      </c>
      <c r="H7" s="8" t="n">
        <v>45915</v>
      </c>
      <c r="I7" s="8" t="n">
        <v>46234</v>
      </c>
      <c r="J7" s="8" t="n">
        <v>46265</v>
      </c>
      <c r="K7" s="9" t="n">
        <v>0.62</v>
      </c>
      <c r="L7" s="10" t="s">
        <v>31</v>
      </c>
      <c r="M7" s="10" t="s">
        <v>32</v>
      </c>
      <c r="N7" s="10" t="s">
        <v>31</v>
      </c>
      <c r="O7" s="10" t="str">
        <f aca="false">IF(OR(L7="Red",M7="Red",N7="Red"),"Red",IF(OR(L7="Amber",M7="Amber",N7="Amber"),"Amber","Green"))</f>
        <v>Amber</v>
      </c>
      <c r="P7" s="7" t="n">
        <f aca="false">COUNTIFS('RAID Log'!$B$5:$B$36,$A7,'RAID Log'!$K$5:$K$36,"&lt;&gt;Closed")</f>
        <v>3</v>
      </c>
      <c r="Q7" s="7" t="n">
        <f aca="false">COUNTIFS('RAID Log'!$B$5:$B$36,$A7,'RAID Log'!$J$5:$J$36,"P1",'RAID Log'!$K$5:$K$36,"&lt;&gt;Closed")</f>
        <v>1</v>
      </c>
      <c r="R7" s="11" t="n">
        <f aca="false">SUMIFS('Budget vs Actuals'!$F$5:$F$32,'Budget vs Actuals'!$A$5:$A$32,$A7)</f>
        <v>7.5</v>
      </c>
      <c r="S7" s="11" t="n">
        <f aca="false">SUMIFS('Budget vs Actuals'!$H$5:$H$32,'Budget vs Actuals'!$A$5:$A$32,$A7)</f>
        <v>4.5</v>
      </c>
      <c r="T7" s="12" t="n">
        <f aca="false">IF(R7=0,0,S7/R7)</f>
        <v>0.6</v>
      </c>
      <c r="U7" s="8" t="n">
        <v>46172</v>
      </c>
      <c r="V7" s="5" t="s">
        <v>49</v>
      </c>
    </row>
    <row r="8" customFormat="false" ht="15" hidden="false" customHeight="false" outlineLevel="0" collapsed="false">
      <c r="A8" s="4" t="s">
        <v>50</v>
      </c>
      <c r="B8" s="5" t="s">
        <v>51</v>
      </c>
      <c r="C8" s="6" t="s">
        <v>52</v>
      </c>
      <c r="D8" s="6" t="s">
        <v>53</v>
      </c>
      <c r="E8" s="6" t="s">
        <v>54</v>
      </c>
      <c r="F8" s="6" t="s">
        <v>39</v>
      </c>
      <c r="G8" s="7" t="s">
        <v>40</v>
      </c>
      <c r="H8" s="8" t="n">
        <v>46032</v>
      </c>
      <c r="I8" s="8" t="n">
        <v>46371</v>
      </c>
      <c r="J8" s="8" t="n">
        <v>46371</v>
      </c>
      <c r="K8" s="9" t="n">
        <v>0.3</v>
      </c>
      <c r="L8" s="10" t="s">
        <v>32</v>
      </c>
      <c r="M8" s="10" t="s">
        <v>31</v>
      </c>
      <c r="N8" s="10" t="s">
        <v>32</v>
      </c>
      <c r="O8" s="10" t="str">
        <f aca="false">IF(OR(L8="Red",M8="Red",N8="Red"),"Red",IF(OR(L8="Amber",M8="Amber",N8="Amber"),"Amber","Green"))</f>
        <v>Amber</v>
      </c>
      <c r="P8" s="7" t="n">
        <f aca="false">COUNTIFS('RAID Log'!$B$5:$B$36,$A8,'RAID Log'!$K$5:$K$36,"&lt;&gt;Closed")</f>
        <v>1</v>
      </c>
      <c r="Q8" s="7" t="n">
        <f aca="false">COUNTIFS('RAID Log'!$B$5:$B$36,$A8,'RAID Log'!$J$5:$J$36,"P1",'RAID Log'!$K$5:$K$36,"&lt;&gt;Closed")</f>
        <v>0</v>
      </c>
      <c r="R8" s="11" t="n">
        <f aca="false">SUMIFS('Budget vs Actuals'!$F$5:$F$32,'Budget vs Actuals'!$A$5:$A$32,$A8)</f>
        <v>8.5</v>
      </c>
      <c r="S8" s="11" t="n">
        <f aca="false">SUMIFS('Budget vs Actuals'!$H$5:$H$32,'Budget vs Actuals'!$A$5:$A$32,$A8)</f>
        <v>2.4</v>
      </c>
      <c r="T8" s="12" t="n">
        <f aca="false">IF(R8=0,0,S8/R8)</f>
        <v>0.282352941176471</v>
      </c>
      <c r="U8" s="8" t="n">
        <v>46172</v>
      </c>
      <c r="V8" s="5" t="s">
        <v>55</v>
      </c>
    </row>
    <row r="9" customFormat="false" ht="22.35" hidden="false" customHeight="false" outlineLevel="0" collapsed="false">
      <c r="A9" s="4" t="s">
        <v>56</v>
      </c>
      <c r="B9" s="5" t="s">
        <v>57</v>
      </c>
      <c r="C9" s="6" t="s">
        <v>58</v>
      </c>
      <c r="D9" s="6" t="s">
        <v>59</v>
      </c>
      <c r="E9" s="6" t="s">
        <v>60</v>
      </c>
      <c r="F9" s="6" t="s">
        <v>61</v>
      </c>
      <c r="G9" s="7" t="s">
        <v>40</v>
      </c>
      <c r="H9" s="8" t="n">
        <v>45931</v>
      </c>
      <c r="I9" s="8" t="n">
        <v>46173</v>
      </c>
      <c r="J9" s="8" t="n">
        <v>46265</v>
      </c>
      <c r="K9" s="9" t="n">
        <v>0.55</v>
      </c>
      <c r="L9" s="10" t="s">
        <v>62</v>
      </c>
      <c r="M9" s="10" t="s">
        <v>62</v>
      </c>
      <c r="N9" s="10" t="s">
        <v>31</v>
      </c>
      <c r="O9" s="10" t="str">
        <f aca="false">IF(OR(L9="Red",M9="Red",N9="Red"),"Red",IF(OR(L9="Amber",M9="Amber",N9="Amber"),"Amber","Green"))</f>
        <v>Red</v>
      </c>
      <c r="P9" s="7" t="n">
        <f aca="false">COUNTIFS('RAID Log'!$B$5:$B$36,$A9,'RAID Log'!$K$5:$K$36,"&lt;&gt;Closed")</f>
        <v>4</v>
      </c>
      <c r="Q9" s="7" t="n">
        <f aca="false">COUNTIFS('RAID Log'!$B$5:$B$36,$A9,'RAID Log'!$J$5:$J$36,"P1",'RAID Log'!$K$5:$K$36,"&lt;&gt;Closed")</f>
        <v>3</v>
      </c>
      <c r="R9" s="11" t="n">
        <f aca="false">SUMIFS('Budget vs Actuals'!$F$5:$F$32,'Budget vs Actuals'!$A$5:$A$32,$A9)</f>
        <v>23.5</v>
      </c>
      <c r="S9" s="11" t="n">
        <f aca="false">SUMIFS('Budget vs Actuals'!$H$5:$H$32,'Budget vs Actuals'!$A$5:$A$32,$A9)</f>
        <v>17.7</v>
      </c>
      <c r="T9" s="12" t="n">
        <f aca="false">IF(R9=0,0,S9/R9)</f>
        <v>0.753191489361702</v>
      </c>
      <c r="U9" s="8" t="n">
        <v>46172</v>
      </c>
      <c r="V9" s="5" t="s">
        <v>63</v>
      </c>
    </row>
    <row r="10" customFormat="false" ht="22.35" hidden="false" customHeight="false" outlineLevel="0" collapsed="false">
      <c r="A10" s="4" t="s">
        <v>64</v>
      </c>
      <c r="B10" s="5" t="s">
        <v>65</v>
      </c>
      <c r="C10" s="6" t="s">
        <v>66</v>
      </c>
      <c r="D10" s="6" t="s">
        <v>67</v>
      </c>
      <c r="E10" s="6" t="s">
        <v>38</v>
      </c>
      <c r="F10" s="6" t="s">
        <v>68</v>
      </c>
      <c r="G10" s="7" t="s">
        <v>40</v>
      </c>
      <c r="H10" s="8" t="n">
        <v>45992</v>
      </c>
      <c r="I10" s="8" t="n">
        <v>46326</v>
      </c>
      <c r="J10" s="8" t="n">
        <v>46356</v>
      </c>
      <c r="K10" s="9" t="n">
        <v>0.4</v>
      </c>
      <c r="L10" s="10" t="s">
        <v>31</v>
      </c>
      <c r="M10" s="10" t="s">
        <v>31</v>
      </c>
      <c r="N10" s="10" t="s">
        <v>31</v>
      </c>
      <c r="O10" s="10" t="str">
        <f aca="false">IF(OR(L10="Red",M10="Red",N10="Red"),"Red",IF(OR(L10="Amber",M10="Amber",N10="Amber"),"Amber","Green"))</f>
        <v>Amber</v>
      </c>
      <c r="P10" s="7" t="n">
        <f aca="false">COUNTIFS('RAID Log'!$B$5:$B$36,$A10,'RAID Log'!$K$5:$K$36,"&lt;&gt;Closed")</f>
        <v>3</v>
      </c>
      <c r="Q10" s="7" t="n">
        <f aca="false">COUNTIFS('RAID Log'!$B$5:$B$36,$A10,'RAID Log'!$J$5:$J$36,"P1",'RAID Log'!$K$5:$K$36,"&lt;&gt;Closed")</f>
        <v>0</v>
      </c>
      <c r="R10" s="11" t="n">
        <f aca="false">SUMIFS('Budget vs Actuals'!$F$5:$F$32,'Budget vs Actuals'!$A$5:$A$32,$A10)</f>
        <v>12</v>
      </c>
      <c r="S10" s="11" t="n">
        <f aca="false">SUMIFS('Budget vs Actuals'!$H$5:$H$32,'Budget vs Actuals'!$A$5:$A$32,$A10)</f>
        <v>5.8</v>
      </c>
      <c r="T10" s="12" t="n">
        <f aca="false">IF(R10=0,0,S10/R10)</f>
        <v>0.483333333333333</v>
      </c>
      <c r="U10" s="8" t="n">
        <v>46172</v>
      </c>
      <c r="V10" s="5" t="s">
        <v>69</v>
      </c>
    </row>
    <row r="11" customFormat="false" ht="22.35" hidden="false" customHeight="false" outlineLevel="0" collapsed="false">
      <c r="A11" s="4" t="s">
        <v>70</v>
      </c>
      <c r="B11" s="5" t="s">
        <v>71</v>
      </c>
      <c r="C11" s="6" t="s">
        <v>72</v>
      </c>
      <c r="D11" s="6" t="s">
        <v>45</v>
      </c>
      <c r="E11" s="6" t="s">
        <v>73</v>
      </c>
      <c r="F11" s="6" t="s">
        <v>74</v>
      </c>
      <c r="G11" s="7" t="s">
        <v>48</v>
      </c>
      <c r="H11" s="8" t="n">
        <v>45901</v>
      </c>
      <c r="I11" s="8" t="n">
        <v>46203</v>
      </c>
      <c r="J11" s="8" t="n">
        <v>46203</v>
      </c>
      <c r="K11" s="9" t="n">
        <v>0.75</v>
      </c>
      <c r="L11" s="10" t="s">
        <v>32</v>
      </c>
      <c r="M11" s="10" t="s">
        <v>32</v>
      </c>
      <c r="N11" s="10" t="s">
        <v>32</v>
      </c>
      <c r="O11" s="10" t="str">
        <f aca="false">IF(OR(L11="Red",M11="Red",N11="Red"),"Red",IF(OR(L11="Amber",M11="Amber",N11="Amber"),"Amber","Green"))</f>
        <v>Green</v>
      </c>
      <c r="P11" s="7" t="n">
        <f aca="false">COUNTIFS('RAID Log'!$B$5:$B$36,$A11,'RAID Log'!$K$5:$K$36,"&lt;&gt;Closed")</f>
        <v>2</v>
      </c>
      <c r="Q11" s="7" t="n">
        <f aca="false">COUNTIFS('RAID Log'!$B$5:$B$36,$A11,'RAID Log'!$J$5:$J$36,"P1",'RAID Log'!$K$5:$K$36,"&lt;&gt;Closed")</f>
        <v>0</v>
      </c>
      <c r="R11" s="11" t="n">
        <f aca="false">SUMIFS('Budget vs Actuals'!$F$5:$F$32,'Budget vs Actuals'!$A$5:$A$32,$A11)</f>
        <v>7</v>
      </c>
      <c r="S11" s="11" t="n">
        <f aca="false">SUMIFS('Budget vs Actuals'!$H$5:$H$32,'Budget vs Actuals'!$A$5:$A$32,$A11)</f>
        <v>5.5</v>
      </c>
      <c r="T11" s="12" t="n">
        <f aca="false">IF(R11=0,0,S11/R11)</f>
        <v>0.785714285714286</v>
      </c>
      <c r="U11" s="8" t="n">
        <v>46172</v>
      </c>
      <c r="V11" s="5" t="s">
        <v>75</v>
      </c>
    </row>
    <row r="12" customFormat="false" ht="15" hidden="false" customHeight="false" outlineLevel="0" collapsed="false">
      <c r="A12" s="4" t="s">
        <v>76</v>
      </c>
      <c r="B12" s="5" t="s">
        <v>77</v>
      </c>
      <c r="C12" s="6" t="s">
        <v>26</v>
      </c>
      <c r="D12" s="6" t="s">
        <v>27</v>
      </c>
      <c r="E12" s="6" t="s">
        <v>46</v>
      </c>
      <c r="F12" s="6" t="s">
        <v>47</v>
      </c>
      <c r="G12" s="7" t="s">
        <v>78</v>
      </c>
      <c r="H12" s="8" t="n">
        <v>46082</v>
      </c>
      <c r="I12" s="8" t="n">
        <v>46356</v>
      </c>
      <c r="J12" s="8" t="n">
        <v>46356</v>
      </c>
      <c r="K12" s="9" t="n">
        <v>0.18</v>
      </c>
      <c r="L12" s="10" t="s">
        <v>32</v>
      </c>
      <c r="M12" s="10" t="s">
        <v>32</v>
      </c>
      <c r="N12" s="10" t="s">
        <v>31</v>
      </c>
      <c r="O12" s="10" t="str">
        <f aca="false">IF(OR(L12="Red",M12="Red",N12="Red"),"Red",IF(OR(L12="Amber",M12="Amber",N12="Amber"),"Amber","Green"))</f>
        <v>Amber</v>
      </c>
      <c r="P12" s="7" t="n">
        <f aca="false">COUNTIFS('RAID Log'!$B$5:$B$36,$A12,'RAID Log'!$K$5:$K$36,"&lt;&gt;Closed")</f>
        <v>2</v>
      </c>
      <c r="Q12" s="7" t="n">
        <f aca="false">COUNTIFS('RAID Log'!$B$5:$B$36,$A12,'RAID Log'!$J$5:$J$36,"P1",'RAID Log'!$K$5:$K$36,"&lt;&gt;Closed")</f>
        <v>0</v>
      </c>
      <c r="R12" s="11" t="n">
        <f aca="false">SUMIFS('Budget vs Actuals'!$F$5:$F$32,'Budget vs Actuals'!$A$5:$A$32,$A12)</f>
        <v>5</v>
      </c>
      <c r="S12" s="11" t="n">
        <f aca="false">SUMIFS('Budget vs Actuals'!$H$5:$H$32,'Budget vs Actuals'!$A$5:$A$32,$A12)</f>
        <v>0.4</v>
      </c>
      <c r="T12" s="12" t="n">
        <f aca="false">IF(R12=0,0,S12/R12)</f>
        <v>0.08</v>
      </c>
      <c r="U12" s="8" t="n">
        <v>46172</v>
      </c>
      <c r="V12" s="5" t="s">
        <v>79</v>
      </c>
    </row>
    <row r="13" customFormat="false" ht="22.35" hidden="false" customHeight="false" outlineLevel="0" collapsed="false">
      <c r="A13" s="4" t="s">
        <v>80</v>
      </c>
      <c r="B13" s="5" t="s">
        <v>81</v>
      </c>
      <c r="C13" s="6" t="s">
        <v>26</v>
      </c>
      <c r="D13" s="6" t="s">
        <v>27</v>
      </c>
      <c r="E13" s="6" t="s">
        <v>28</v>
      </c>
      <c r="F13" s="6" t="s">
        <v>82</v>
      </c>
      <c r="G13" s="7" t="s">
        <v>48</v>
      </c>
      <c r="H13" s="8" t="n">
        <v>45945</v>
      </c>
      <c r="I13" s="8" t="n">
        <v>46218</v>
      </c>
      <c r="J13" s="8" t="n">
        <v>46249</v>
      </c>
      <c r="K13" s="9" t="n">
        <v>0.68</v>
      </c>
      <c r="L13" s="10" t="s">
        <v>31</v>
      </c>
      <c r="M13" s="10" t="s">
        <v>31</v>
      </c>
      <c r="N13" s="10" t="s">
        <v>62</v>
      </c>
      <c r="O13" s="10" t="str">
        <f aca="false">IF(OR(L13="Red",M13="Red",N13="Red"),"Red",IF(OR(L13="Amber",M13="Amber",N13="Amber"),"Amber","Green"))</f>
        <v>Red</v>
      </c>
      <c r="P13" s="7" t="n">
        <f aca="false">COUNTIFS('RAID Log'!$B$5:$B$36,$A13,'RAID Log'!$K$5:$K$36,"&lt;&gt;Closed")</f>
        <v>4</v>
      </c>
      <c r="Q13" s="7" t="n">
        <f aca="false">COUNTIFS('RAID Log'!$B$5:$B$36,$A13,'RAID Log'!$J$5:$J$36,"P1",'RAID Log'!$K$5:$K$36,"&lt;&gt;Closed")</f>
        <v>1</v>
      </c>
      <c r="R13" s="11" t="n">
        <f aca="false">SUMIFS('Budget vs Actuals'!$F$5:$F$32,'Budget vs Actuals'!$A$5:$A$32,$A13)</f>
        <v>10</v>
      </c>
      <c r="S13" s="11" t="n">
        <f aca="false">SUMIFS('Budget vs Actuals'!$H$5:$H$32,'Budget vs Actuals'!$A$5:$A$32,$A13)</f>
        <v>6.5</v>
      </c>
      <c r="T13" s="12" t="n">
        <f aca="false">IF(R13=0,0,S13/R13)</f>
        <v>0.65</v>
      </c>
      <c r="U13" s="8" t="n">
        <v>46172</v>
      </c>
      <c r="V13" s="5" t="s">
        <v>83</v>
      </c>
    </row>
    <row r="14" customFormat="false" ht="15" hidden="false" customHeight="false" outlineLevel="0" collapsed="false">
      <c r="A14" s="4" t="s">
        <v>84</v>
      </c>
      <c r="B14" s="5" t="s">
        <v>85</v>
      </c>
      <c r="C14" s="6" t="s">
        <v>58</v>
      </c>
      <c r="D14" s="6" t="s">
        <v>59</v>
      </c>
      <c r="E14" s="6" t="s">
        <v>60</v>
      </c>
      <c r="F14" s="6" t="s">
        <v>86</v>
      </c>
      <c r="G14" s="7" t="s">
        <v>30</v>
      </c>
      <c r="H14" s="8" t="n">
        <v>45839</v>
      </c>
      <c r="I14" s="8" t="n">
        <v>46112</v>
      </c>
      <c r="J14" s="8" t="n">
        <v>46112</v>
      </c>
      <c r="K14" s="9" t="n">
        <v>0.95</v>
      </c>
      <c r="L14" s="10" t="s">
        <v>32</v>
      </c>
      <c r="M14" s="10" t="s">
        <v>32</v>
      </c>
      <c r="N14" s="10" t="s">
        <v>32</v>
      </c>
      <c r="O14" s="10" t="str">
        <f aca="false">IF(OR(L14="Red",M14="Red",N14="Red"),"Red",IF(OR(L14="Amber",M14="Amber",N14="Amber"),"Amber","Green"))</f>
        <v>Green</v>
      </c>
      <c r="P14" s="7" t="n">
        <f aca="false">COUNTIFS('RAID Log'!$B$5:$B$36,$A14,'RAID Log'!$K$5:$K$36,"&lt;&gt;Closed")</f>
        <v>0</v>
      </c>
      <c r="Q14" s="7" t="n">
        <f aca="false">COUNTIFS('RAID Log'!$B$5:$B$36,$A14,'RAID Log'!$J$5:$J$36,"P1",'RAID Log'!$K$5:$K$36,"&lt;&gt;Closed")</f>
        <v>0</v>
      </c>
      <c r="R14" s="11" t="n">
        <f aca="false">SUMIFS('Budget vs Actuals'!$F$5:$F$32,'Budget vs Actuals'!$A$5:$A$32,$A14)</f>
        <v>4</v>
      </c>
      <c r="S14" s="11" t="n">
        <f aca="false">SUMIFS('Budget vs Actuals'!$H$5:$H$32,'Budget vs Actuals'!$A$5:$A$32,$A14)</f>
        <v>3.8</v>
      </c>
      <c r="T14" s="12" t="n">
        <f aca="false">IF(R14=0,0,S14/R14)</f>
        <v>0.95</v>
      </c>
      <c r="U14" s="8" t="n">
        <v>46172</v>
      </c>
      <c r="V14" s="5" t="s">
        <v>87</v>
      </c>
    </row>
    <row r="15" customFormat="false" ht="22.35" hidden="false" customHeight="false" outlineLevel="0" collapsed="false">
      <c r="A15" s="4" t="s">
        <v>88</v>
      </c>
      <c r="B15" s="5" t="s">
        <v>89</v>
      </c>
      <c r="C15" s="6" t="s">
        <v>90</v>
      </c>
      <c r="D15" s="6" t="s">
        <v>67</v>
      </c>
      <c r="E15" s="6" t="s">
        <v>54</v>
      </c>
      <c r="F15" s="6" t="s">
        <v>91</v>
      </c>
      <c r="G15" s="7" t="s">
        <v>40</v>
      </c>
      <c r="H15" s="8" t="n">
        <v>45976</v>
      </c>
      <c r="I15" s="8" t="n">
        <v>46265</v>
      </c>
      <c r="J15" s="8" t="n">
        <v>46295</v>
      </c>
      <c r="K15" s="9" t="n">
        <v>0.5</v>
      </c>
      <c r="L15" s="10" t="s">
        <v>31</v>
      </c>
      <c r="M15" s="10" t="s">
        <v>32</v>
      </c>
      <c r="N15" s="10" t="s">
        <v>31</v>
      </c>
      <c r="O15" s="10" t="str">
        <f aca="false">IF(OR(L15="Red",M15="Red",N15="Red"),"Red",IF(OR(L15="Amber",M15="Amber",N15="Amber"),"Amber","Green"))</f>
        <v>Amber</v>
      </c>
      <c r="P15" s="7" t="n">
        <f aca="false">COUNTIFS('RAID Log'!$B$5:$B$36,$A15,'RAID Log'!$K$5:$K$36,"&lt;&gt;Closed")</f>
        <v>2</v>
      </c>
      <c r="Q15" s="7" t="n">
        <f aca="false">COUNTIFS('RAID Log'!$B$5:$B$36,$A15,'RAID Log'!$J$5:$J$36,"P1",'RAID Log'!$K$5:$K$36,"&lt;&gt;Closed")</f>
        <v>0</v>
      </c>
      <c r="R15" s="11" t="n">
        <f aca="false">SUMIFS('Budget vs Actuals'!$F$5:$F$32,'Budget vs Actuals'!$A$5:$A$32,$A15)</f>
        <v>8.5</v>
      </c>
      <c r="S15" s="11" t="n">
        <f aca="false">SUMIFS('Budget vs Actuals'!$H$5:$H$32,'Budget vs Actuals'!$A$5:$A$32,$A15)</f>
        <v>4.3</v>
      </c>
      <c r="T15" s="12" t="n">
        <f aca="false">IF(R15=0,0,S15/R15)</f>
        <v>0.505882352941176</v>
      </c>
      <c r="U15" s="8" t="n">
        <v>46172</v>
      </c>
      <c r="V15" s="5" t="s">
        <v>92</v>
      </c>
    </row>
    <row r="16" customFormat="false" ht="22.35" hidden="false" customHeight="false" outlineLevel="0" collapsed="false">
      <c r="A16" s="4" t="s">
        <v>93</v>
      </c>
      <c r="B16" s="5" t="s">
        <v>94</v>
      </c>
      <c r="C16" s="6" t="s">
        <v>95</v>
      </c>
      <c r="D16" s="6" t="s">
        <v>37</v>
      </c>
      <c r="E16" s="6" t="s">
        <v>73</v>
      </c>
      <c r="F16" s="6" t="s">
        <v>39</v>
      </c>
      <c r="G16" s="7" t="s">
        <v>40</v>
      </c>
      <c r="H16" s="8" t="n">
        <v>45884</v>
      </c>
      <c r="I16" s="8" t="n">
        <v>46203</v>
      </c>
      <c r="J16" s="8" t="n">
        <v>46326</v>
      </c>
      <c r="K16" s="9" t="n">
        <v>0.48</v>
      </c>
      <c r="L16" s="10" t="s">
        <v>62</v>
      </c>
      <c r="M16" s="10" t="s">
        <v>62</v>
      </c>
      <c r="N16" s="10" t="s">
        <v>62</v>
      </c>
      <c r="O16" s="10" t="str">
        <f aca="false">IF(OR(L16="Red",M16="Red",N16="Red"),"Red",IF(OR(L16="Amber",M16="Amber",N16="Amber"),"Amber","Green"))</f>
        <v>Red</v>
      </c>
      <c r="P16" s="7" t="n">
        <f aca="false">COUNTIFS('RAID Log'!$B$5:$B$36,$A16,'RAID Log'!$K$5:$K$36,"&lt;&gt;Closed")</f>
        <v>4</v>
      </c>
      <c r="Q16" s="7" t="n">
        <f aca="false">COUNTIFS('RAID Log'!$B$5:$B$36,$A16,'RAID Log'!$J$5:$J$36,"P1",'RAID Log'!$K$5:$K$36,"&lt;&gt;Closed")</f>
        <v>3</v>
      </c>
      <c r="R16" s="11" t="n">
        <f aca="false">SUMIFS('Budget vs Actuals'!$F$5:$F$32,'Budget vs Actuals'!$A$5:$A$32,$A16)</f>
        <v>17.5</v>
      </c>
      <c r="S16" s="11" t="n">
        <f aca="false">SUMIFS('Budget vs Actuals'!$H$5:$H$32,'Budget vs Actuals'!$A$5:$A$32,$A16)</f>
        <v>9.7</v>
      </c>
      <c r="T16" s="12" t="n">
        <f aca="false">IF(R16=0,0,S16/R16)</f>
        <v>0.554285714285714</v>
      </c>
      <c r="U16" s="8" t="n">
        <v>46172</v>
      </c>
      <c r="V16" s="5" t="s">
        <v>96</v>
      </c>
    </row>
    <row r="18" customFormat="false" ht="15" hidden="false" customHeight="false" outlineLevel="0" collapsed="false">
      <c r="A18" s="13" t="s">
        <v>97</v>
      </c>
    </row>
  </sheetData>
  <autoFilter ref="A4:V16"/>
  <mergeCells count="2">
    <mergeCell ref="A1:V1"/>
    <mergeCell ref="A2:V2"/>
  </mergeCells>
  <conditionalFormatting sqref="L5:L16">
    <cfRule type="cellIs" priority="2" operator="equal" aboveAverage="0" equalAverage="0" bottom="0" percent="0" rank="0" text="" dxfId="10">
      <formula>"Red"</formula>
    </cfRule>
    <cfRule type="cellIs" priority="3" operator="equal" aboveAverage="0" equalAverage="0" bottom="0" percent="0" rank="0" text="" dxfId="11">
      <formula>"Amber"</formula>
    </cfRule>
    <cfRule type="cellIs" priority="4" operator="equal" aboveAverage="0" equalAverage="0" bottom="0" percent="0" rank="0" text="" dxfId="12">
      <formula>"Green"</formula>
    </cfRule>
  </conditionalFormatting>
  <conditionalFormatting sqref="M5:M16">
    <cfRule type="cellIs" priority="5" operator="equal" aboveAverage="0" equalAverage="0" bottom="0" percent="0" rank="0" text="" dxfId="10">
      <formula>"Red"</formula>
    </cfRule>
    <cfRule type="cellIs" priority="6" operator="equal" aboveAverage="0" equalAverage="0" bottom="0" percent="0" rank="0" text="" dxfId="11">
      <formula>"Amber"</formula>
    </cfRule>
    <cfRule type="cellIs" priority="7" operator="equal" aboveAverage="0" equalAverage="0" bottom="0" percent="0" rank="0" text="" dxfId="12">
      <formula>"Green"</formula>
    </cfRule>
  </conditionalFormatting>
  <conditionalFormatting sqref="N5:N16">
    <cfRule type="cellIs" priority="8" operator="equal" aboveAverage="0" equalAverage="0" bottom="0" percent="0" rank="0" text="" dxfId="10">
      <formula>"Red"</formula>
    </cfRule>
    <cfRule type="cellIs" priority="9" operator="equal" aboveAverage="0" equalAverage="0" bottom="0" percent="0" rank="0" text="" dxfId="11">
      <formula>"Amber"</formula>
    </cfRule>
    <cfRule type="cellIs" priority="10" operator="equal" aboveAverage="0" equalAverage="0" bottom="0" percent="0" rank="0" text="" dxfId="12">
      <formula>"Green"</formula>
    </cfRule>
  </conditionalFormatting>
  <conditionalFormatting sqref="O5:O16">
    <cfRule type="cellIs" priority="11" operator="equal" aboveAverage="0" equalAverage="0" bottom="0" percent="0" rank="0" text="" dxfId="10">
      <formula>"Red"</formula>
    </cfRule>
    <cfRule type="cellIs" priority="12" operator="equal" aboveAverage="0" equalAverage="0" bottom="0" percent="0" rank="0" text="" dxfId="11">
      <formula>"Amber"</formula>
    </cfRule>
    <cfRule type="cellIs" priority="13" operator="equal" aboveAverage="0" equalAverage="0" bottom="0" percent="0" rank="0" text="" dxfId="12">
      <formula>"Green"</formula>
    </cfRule>
  </conditionalFormatting>
  <conditionalFormatting sqref="T5:T16">
    <cfRule type="cellIs" priority="14" operator="greaterThan" aboveAverage="0" equalAverage="0" bottom="0" percent="0" rank="0" text="" dxfId="1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46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46"/>
    <col collapsed="false" customWidth="true" hidden="false" outlineLevel="0" max="14" min="14" style="0" width="13"/>
  </cols>
  <sheetData>
    <row r="1" customFormat="false" ht="25.5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7.5" hidden="false" customHeight="true" outlineLevel="0" collapsed="false">
      <c r="A4" s="3" t="s">
        <v>99</v>
      </c>
      <c r="B4" s="3" t="s">
        <v>2</v>
      </c>
      <c r="C4" s="3" t="s">
        <v>100</v>
      </c>
      <c r="D4" s="3" t="s">
        <v>101</v>
      </c>
      <c r="E4" s="3" t="s">
        <v>102</v>
      </c>
      <c r="F4" s="3" t="s">
        <v>103</v>
      </c>
      <c r="G4" s="3" t="s">
        <v>104</v>
      </c>
      <c r="H4" s="3" t="s">
        <v>105</v>
      </c>
      <c r="I4" s="3" t="s">
        <v>106</v>
      </c>
      <c r="J4" s="3" t="s">
        <v>107</v>
      </c>
      <c r="K4" s="3" t="s">
        <v>108</v>
      </c>
      <c r="L4" s="3" t="s">
        <v>109</v>
      </c>
      <c r="M4" s="3" t="s">
        <v>110</v>
      </c>
      <c r="N4" s="3" t="s">
        <v>111</v>
      </c>
    </row>
    <row r="5" customFormat="false" ht="22.35" hidden="false" customHeight="false" outlineLevel="0" collapsed="false">
      <c r="A5" s="10" t="s">
        <v>112</v>
      </c>
      <c r="B5" s="6" t="s">
        <v>24</v>
      </c>
      <c r="C5" s="7" t="s">
        <v>44</v>
      </c>
      <c r="D5" s="7" t="s">
        <v>95</v>
      </c>
      <c r="E5" s="5" t="s">
        <v>113</v>
      </c>
      <c r="F5" s="8" t="n">
        <v>46122</v>
      </c>
      <c r="G5" s="6" t="s">
        <v>114</v>
      </c>
      <c r="H5" s="7" t="s">
        <v>115</v>
      </c>
      <c r="I5" s="7" t="s">
        <v>116</v>
      </c>
      <c r="J5" s="10" t="s">
        <v>117</v>
      </c>
      <c r="K5" s="7" t="s">
        <v>118</v>
      </c>
      <c r="L5" s="8" t="n">
        <v>46183</v>
      </c>
      <c r="M5" s="5" t="s">
        <v>119</v>
      </c>
      <c r="N5" s="8" t="n">
        <v>46170</v>
      </c>
    </row>
    <row r="6" customFormat="false" ht="22.35" hidden="false" customHeight="false" outlineLevel="0" collapsed="false">
      <c r="A6" s="10" t="s">
        <v>120</v>
      </c>
      <c r="B6" s="6" t="s">
        <v>24</v>
      </c>
      <c r="C6" s="7" t="s">
        <v>121</v>
      </c>
      <c r="D6" s="7" t="s">
        <v>122</v>
      </c>
      <c r="E6" s="5" t="s">
        <v>123</v>
      </c>
      <c r="F6" s="8" t="n">
        <v>46134</v>
      </c>
      <c r="G6" s="6" t="s">
        <v>28</v>
      </c>
      <c r="H6" s="7" t="s">
        <v>124</v>
      </c>
      <c r="I6" s="7" t="s">
        <v>116</v>
      </c>
      <c r="J6" s="10" t="s">
        <v>117</v>
      </c>
      <c r="K6" s="7" t="s">
        <v>125</v>
      </c>
      <c r="L6" s="8" t="n">
        <v>46178</v>
      </c>
      <c r="M6" s="5" t="s">
        <v>126</v>
      </c>
      <c r="N6" s="8" t="n">
        <v>46172</v>
      </c>
    </row>
    <row r="7" customFormat="false" ht="22.35" hidden="false" customHeight="false" outlineLevel="0" collapsed="false">
      <c r="A7" s="10" t="s">
        <v>127</v>
      </c>
      <c r="B7" s="6" t="s">
        <v>24</v>
      </c>
      <c r="C7" s="7" t="s">
        <v>128</v>
      </c>
      <c r="D7" s="7" t="s">
        <v>129</v>
      </c>
      <c r="E7" s="5" t="s">
        <v>130</v>
      </c>
      <c r="F7" s="8" t="n">
        <v>46154</v>
      </c>
      <c r="G7" s="6" t="s">
        <v>131</v>
      </c>
      <c r="H7" s="7" t="s">
        <v>124</v>
      </c>
      <c r="I7" s="7" t="s">
        <v>115</v>
      </c>
      <c r="J7" s="10" t="s">
        <v>132</v>
      </c>
      <c r="K7" s="7" t="s">
        <v>133</v>
      </c>
      <c r="L7" s="8" t="n">
        <v>46185</v>
      </c>
      <c r="M7" s="5" t="s">
        <v>134</v>
      </c>
      <c r="N7" s="8" t="n">
        <v>46171</v>
      </c>
    </row>
    <row r="8" customFormat="false" ht="22.35" hidden="false" customHeight="false" outlineLevel="0" collapsed="false">
      <c r="A8" s="10" t="s">
        <v>135</v>
      </c>
      <c r="B8" s="6" t="s">
        <v>42</v>
      </c>
      <c r="C8" s="7" t="s">
        <v>44</v>
      </c>
      <c r="D8" s="7" t="s">
        <v>136</v>
      </c>
      <c r="E8" s="5" t="s">
        <v>137</v>
      </c>
      <c r="F8" s="8" t="n">
        <v>46101</v>
      </c>
      <c r="G8" s="6" t="s">
        <v>138</v>
      </c>
      <c r="H8" s="7" t="s">
        <v>116</v>
      </c>
      <c r="I8" s="7" t="s">
        <v>116</v>
      </c>
      <c r="J8" s="10" t="s">
        <v>139</v>
      </c>
      <c r="K8" s="7" t="s">
        <v>118</v>
      </c>
      <c r="L8" s="8" t="n">
        <v>46218</v>
      </c>
      <c r="M8" s="5" t="s">
        <v>140</v>
      </c>
      <c r="N8" s="8" t="n">
        <v>46169</v>
      </c>
    </row>
    <row r="9" customFormat="false" ht="22.35" hidden="false" customHeight="false" outlineLevel="0" collapsed="false">
      <c r="A9" s="10" t="s">
        <v>141</v>
      </c>
      <c r="B9" s="6" t="s">
        <v>42</v>
      </c>
      <c r="C9" s="7" t="s">
        <v>142</v>
      </c>
      <c r="D9" s="7" t="s">
        <v>95</v>
      </c>
      <c r="E9" s="5" t="s">
        <v>143</v>
      </c>
      <c r="F9" s="8" t="n">
        <v>46068</v>
      </c>
      <c r="G9" s="6" t="s">
        <v>114</v>
      </c>
      <c r="H9" s="7" t="s">
        <v>124</v>
      </c>
      <c r="I9" s="7" t="s">
        <v>115</v>
      </c>
      <c r="J9" s="10" t="s">
        <v>132</v>
      </c>
      <c r="K9" s="7" t="s">
        <v>125</v>
      </c>
      <c r="L9" s="8" t="n">
        <v>46203</v>
      </c>
      <c r="M9" s="5" t="s">
        <v>144</v>
      </c>
      <c r="N9" s="8" t="n">
        <v>46162</v>
      </c>
    </row>
    <row r="10" customFormat="false" ht="22.35" hidden="false" customHeight="false" outlineLevel="0" collapsed="false">
      <c r="A10" s="10" t="s">
        <v>145</v>
      </c>
      <c r="B10" s="6" t="s">
        <v>56</v>
      </c>
      <c r="C10" s="7" t="s">
        <v>128</v>
      </c>
      <c r="D10" s="7" t="s">
        <v>129</v>
      </c>
      <c r="E10" s="5" t="s">
        <v>146</v>
      </c>
      <c r="F10" s="8" t="n">
        <v>46117</v>
      </c>
      <c r="G10" s="6" t="s">
        <v>147</v>
      </c>
      <c r="H10" s="7" t="s">
        <v>124</v>
      </c>
      <c r="I10" s="7" t="s">
        <v>116</v>
      </c>
      <c r="J10" s="10" t="s">
        <v>139</v>
      </c>
      <c r="K10" s="7" t="s">
        <v>133</v>
      </c>
      <c r="L10" s="8" t="n">
        <v>46193</v>
      </c>
      <c r="M10" s="5" t="s">
        <v>148</v>
      </c>
      <c r="N10" s="8" t="n">
        <v>46172</v>
      </c>
    </row>
    <row r="11" customFormat="false" ht="22.35" hidden="false" customHeight="false" outlineLevel="0" collapsed="false">
      <c r="A11" s="10" t="s">
        <v>149</v>
      </c>
      <c r="B11" s="6" t="s">
        <v>56</v>
      </c>
      <c r="C11" s="7" t="s">
        <v>44</v>
      </c>
      <c r="D11" s="7" t="s">
        <v>122</v>
      </c>
      <c r="E11" s="5" t="s">
        <v>150</v>
      </c>
      <c r="F11" s="8" t="n">
        <v>46109</v>
      </c>
      <c r="G11" s="6" t="s">
        <v>60</v>
      </c>
      <c r="H11" s="7" t="s">
        <v>116</v>
      </c>
      <c r="I11" s="7" t="s">
        <v>116</v>
      </c>
      <c r="J11" s="10" t="s">
        <v>139</v>
      </c>
      <c r="K11" s="7" t="s">
        <v>125</v>
      </c>
      <c r="L11" s="8" t="n">
        <v>46188</v>
      </c>
      <c r="M11" s="5" t="s">
        <v>151</v>
      </c>
      <c r="N11" s="8" t="n">
        <v>46171</v>
      </c>
    </row>
    <row r="12" customFormat="false" ht="22.35" hidden="false" customHeight="false" outlineLevel="0" collapsed="false">
      <c r="A12" s="10" t="s">
        <v>152</v>
      </c>
      <c r="B12" s="6" t="s">
        <v>56</v>
      </c>
      <c r="C12" s="7" t="s">
        <v>44</v>
      </c>
      <c r="D12" s="7" t="s">
        <v>153</v>
      </c>
      <c r="E12" s="5" t="s">
        <v>154</v>
      </c>
      <c r="F12" s="8" t="n">
        <v>46130</v>
      </c>
      <c r="G12" s="6" t="s">
        <v>155</v>
      </c>
      <c r="H12" s="7" t="s">
        <v>116</v>
      </c>
      <c r="I12" s="7" t="s">
        <v>115</v>
      </c>
      <c r="J12" s="10" t="s">
        <v>117</v>
      </c>
      <c r="K12" s="7" t="s">
        <v>118</v>
      </c>
      <c r="L12" s="8" t="n">
        <v>46203</v>
      </c>
      <c r="M12" s="5" t="s">
        <v>156</v>
      </c>
      <c r="N12" s="8" t="n">
        <v>46168</v>
      </c>
    </row>
    <row r="13" customFormat="false" ht="22.35" hidden="false" customHeight="false" outlineLevel="0" collapsed="false">
      <c r="A13" s="10" t="s">
        <v>157</v>
      </c>
      <c r="B13" s="6" t="s">
        <v>56</v>
      </c>
      <c r="C13" s="7" t="s">
        <v>121</v>
      </c>
      <c r="D13" s="7" t="s">
        <v>158</v>
      </c>
      <c r="E13" s="5" t="s">
        <v>159</v>
      </c>
      <c r="F13" s="8" t="n">
        <v>46137</v>
      </c>
      <c r="G13" s="6" t="s">
        <v>138</v>
      </c>
      <c r="H13" s="7" t="s">
        <v>124</v>
      </c>
      <c r="I13" s="7" t="s">
        <v>116</v>
      </c>
      <c r="J13" s="10" t="s">
        <v>139</v>
      </c>
      <c r="K13" s="7" t="s">
        <v>125</v>
      </c>
      <c r="L13" s="8" t="n">
        <v>46213</v>
      </c>
      <c r="M13" s="5" t="s">
        <v>160</v>
      </c>
      <c r="N13" s="8" t="n">
        <v>46170</v>
      </c>
    </row>
    <row r="14" customFormat="false" ht="22.35" hidden="false" customHeight="false" outlineLevel="0" collapsed="false">
      <c r="A14" s="10" t="s">
        <v>161</v>
      </c>
      <c r="B14" s="6" t="s">
        <v>93</v>
      </c>
      <c r="C14" s="7" t="s">
        <v>128</v>
      </c>
      <c r="D14" s="7" t="s">
        <v>95</v>
      </c>
      <c r="E14" s="5" t="s">
        <v>162</v>
      </c>
      <c r="F14" s="8" t="n">
        <v>46114</v>
      </c>
      <c r="G14" s="6" t="s">
        <v>114</v>
      </c>
      <c r="H14" s="7" t="s">
        <v>124</v>
      </c>
      <c r="I14" s="7" t="s">
        <v>116</v>
      </c>
      <c r="J14" s="10" t="s">
        <v>139</v>
      </c>
      <c r="K14" s="7" t="s">
        <v>133</v>
      </c>
      <c r="L14" s="8" t="n">
        <v>46234</v>
      </c>
      <c r="M14" s="5" t="s">
        <v>163</v>
      </c>
      <c r="N14" s="8" t="n">
        <v>46172</v>
      </c>
    </row>
    <row r="15" customFormat="false" ht="22.35" hidden="false" customHeight="false" outlineLevel="0" collapsed="false">
      <c r="A15" s="10" t="s">
        <v>164</v>
      </c>
      <c r="B15" s="6" t="s">
        <v>93</v>
      </c>
      <c r="C15" s="7" t="s">
        <v>44</v>
      </c>
      <c r="D15" s="7" t="s">
        <v>165</v>
      </c>
      <c r="E15" s="5" t="s">
        <v>166</v>
      </c>
      <c r="F15" s="8" t="n">
        <v>46096</v>
      </c>
      <c r="G15" s="6" t="s">
        <v>167</v>
      </c>
      <c r="H15" s="7" t="s">
        <v>116</v>
      </c>
      <c r="I15" s="7" t="s">
        <v>116</v>
      </c>
      <c r="J15" s="10" t="s">
        <v>139</v>
      </c>
      <c r="K15" s="7" t="s">
        <v>118</v>
      </c>
      <c r="L15" s="8" t="n">
        <v>46203</v>
      </c>
      <c r="M15" s="5" t="s">
        <v>168</v>
      </c>
      <c r="N15" s="8" t="n">
        <v>46167</v>
      </c>
    </row>
    <row r="16" customFormat="false" ht="22.35" hidden="false" customHeight="false" outlineLevel="0" collapsed="false">
      <c r="A16" s="10" t="s">
        <v>169</v>
      </c>
      <c r="B16" s="6" t="s">
        <v>93</v>
      </c>
      <c r="C16" s="7" t="s">
        <v>44</v>
      </c>
      <c r="D16" s="7" t="s">
        <v>153</v>
      </c>
      <c r="E16" s="5" t="s">
        <v>170</v>
      </c>
      <c r="F16" s="8" t="n">
        <v>46132</v>
      </c>
      <c r="G16" s="6" t="s">
        <v>155</v>
      </c>
      <c r="H16" s="7" t="s">
        <v>116</v>
      </c>
      <c r="I16" s="7" t="s">
        <v>116</v>
      </c>
      <c r="J16" s="10" t="s">
        <v>139</v>
      </c>
      <c r="K16" s="7" t="s">
        <v>125</v>
      </c>
      <c r="L16" s="8" t="n">
        <v>46188</v>
      </c>
      <c r="M16" s="5" t="s">
        <v>171</v>
      </c>
      <c r="N16" s="8" t="n">
        <v>46172</v>
      </c>
    </row>
    <row r="17" customFormat="false" ht="22.35" hidden="false" customHeight="false" outlineLevel="0" collapsed="false">
      <c r="A17" s="10" t="s">
        <v>172</v>
      </c>
      <c r="B17" s="6" t="s">
        <v>93</v>
      </c>
      <c r="C17" s="7" t="s">
        <v>121</v>
      </c>
      <c r="D17" s="7" t="s">
        <v>129</v>
      </c>
      <c r="E17" s="5" t="s">
        <v>173</v>
      </c>
      <c r="F17" s="8" t="n">
        <v>46111</v>
      </c>
      <c r="G17" s="6" t="s">
        <v>73</v>
      </c>
      <c r="H17" s="7" t="s">
        <v>124</v>
      </c>
      <c r="I17" s="7" t="s">
        <v>116</v>
      </c>
      <c r="J17" s="10" t="s">
        <v>117</v>
      </c>
      <c r="K17" s="7" t="s">
        <v>125</v>
      </c>
      <c r="L17" s="8" t="n">
        <v>46218</v>
      </c>
      <c r="M17" s="5" t="s">
        <v>174</v>
      </c>
      <c r="N17" s="8" t="n">
        <v>46171</v>
      </c>
    </row>
    <row r="18" customFormat="false" ht="22.35" hidden="false" customHeight="false" outlineLevel="0" collapsed="false">
      <c r="A18" s="10" t="s">
        <v>175</v>
      </c>
      <c r="B18" s="6" t="s">
        <v>80</v>
      </c>
      <c r="C18" s="7" t="s">
        <v>128</v>
      </c>
      <c r="D18" s="7" t="s">
        <v>176</v>
      </c>
      <c r="E18" s="5" t="s">
        <v>177</v>
      </c>
      <c r="F18" s="8" t="n">
        <v>46120</v>
      </c>
      <c r="G18" s="6" t="s">
        <v>28</v>
      </c>
      <c r="H18" s="7" t="s">
        <v>124</v>
      </c>
      <c r="I18" s="7" t="s">
        <v>116</v>
      </c>
      <c r="J18" s="10" t="s">
        <v>117</v>
      </c>
      <c r="K18" s="7" t="s">
        <v>133</v>
      </c>
      <c r="L18" s="8" t="n">
        <v>46193</v>
      </c>
      <c r="M18" s="5" t="s">
        <v>178</v>
      </c>
      <c r="N18" s="8" t="n">
        <v>46170</v>
      </c>
    </row>
    <row r="19" customFormat="false" ht="22.35" hidden="false" customHeight="false" outlineLevel="0" collapsed="false">
      <c r="A19" s="10" t="s">
        <v>179</v>
      </c>
      <c r="B19" s="6" t="s">
        <v>80</v>
      </c>
      <c r="C19" s="7" t="s">
        <v>44</v>
      </c>
      <c r="D19" s="7" t="s">
        <v>136</v>
      </c>
      <c r="E19" s="5" t="s">
        <v>180</v>
      </c>
      <c r="F19" s="8" t="n">
        <v>46106</v>
      </c>
      <c r="G19" s="6" t="s">
        <v>138</v>
      </c>
      <c r="H19" s="7" t="s">
        <v>115</v>
      </c>
      <c r="I19" s="7" t="s">
        <v>116</v>
      </c>
      <c r="J19" s="10" t="s">
        <v>139</v>
      </c>
      <c r="K19" s="7" t="s">
        <v>118</v>
      </c>
      <c r="L19" s="8" t="n">
        <v>46204</v>
      </c>
      <c r="M19" s="5" t="s">
        <v>181</v>
      </c>
      <c r="N19" s="8" t="n">
        <v>46169</v>
      </c>
    </row>
    <row r="20" customFormat="false" ht="22.35" hidden="false" customHeight="false" outlineLevel="0" collapsed="false">
      <c r="A20" s="10" t="s">
        <v>182</v>
      </c>
      <c r="B20" s="6" t="s">
        <v>80</v>
      </c>
      <c r="C20" s="7" t="s">
        <v>121</v>
      </c>
      <c r="D20" s="7" t="s">
        <v>122</v>
      </c>
      <c r="E20" s="5" t="s">
        <v>183</v>
      </c>
      <c r="F20" s="8" t="n">
        <v>46127</v>
      </c>
      <c r="G20" s="6" t="s">
        <v>46</v>
      </c>
      <c r="H20" s="7" t="s">
        <v>124</v>
      </c>
      <c r="I20" s="7" t="s">
        <v>116</v>
      </c>
      <c r="J20" s="10" t="s">
        <v>117</v>
      </c>
      <c r="K20" s="7" t="s">
        <v>125</v>
      </c>
      <c r="L20" s="8" t="n">
        <v>46198</v>
      </c>
      <c r="M20" s="5" t="s">
        <v>184</v>
      </c>
      <c r="N20" s="8" t="n">
        <v>46172</v>
      </c>
    </row>
    <row r="21" customFormat="false" ht="22.35" hidden="false" customHeight="false" outlineLevel="0" collapsed="false">
      <c r="A21" s="10" t="s">
        <v>185</v>
      </c>
      <c r="B21" s="6" t="s">
        <v>64</v>
      </c>
      <c r="C21" s="7" t="s">
        <v>44</v>
      </c>
      <c r="D21" s="7" t="s">
        <v>129</v>
      </c>
      <c r="E21" s="5" t="s">
        <v>186</v>
      </c>
      <c r="F21" s="8" t="n">
        <v>46124</v>
      </c>
      <c r="G21" s="6" t="s">
        <v>131</v>
      </c>
      <c r="H21" s="7" t="s">
        <v>115</v>
      </c>
      <c r="I21" s="7" t="s">
        <v>115</v>
      </c>
      <c r="J21" s="10" t="s">
        <v>132</v>
      </c>
      <c r="K21" s="7" t="s">
        <v>125</v>
      </c>
      <c r="L21" s="8" t="n">
        <v>46218</v>
      </c>
      <c r="M21" s="5" t="s">
        <v>187</v>
      </c>
      <c r="N21" s="8" t="n">
        <v>46168</v>
      </c>
    </row>
    <row r="22" customFormat="false" ht="15" hidden="false" customHeight="false" outlineLevel="0" collapsed="false">
      <c r="A22" s="10" t="s">
        <v>188</v>
      </c>
      <c r="B22" s="6" t="s">
        <v>64</v>
      </c>
      <c r="C22" s="7" t="s">
        <v>128</v>
      </c>
      <c r="D22" s="7" t="s">
        <v>165</v>
      </c>
      <c r="E22" s="5" t="s">
        <v>189</v>
      </c>
      <c r="F22" s="8" t="n">
        <v>46131</v>
      </c>
      <c r="G22" s="6" t="s">
        <v>38</v>
      </c>
      <c r="H22" s="7" t="s">
        <v>124</v>
      </c>
      <c r="I22" s="7" t="s">
        <v>115</v>
      </c>
      <c r="J22" s="10" t="s">
        <v>132</v>
      </c>
      <c r="K22" s="7" t="s">
        <v>133</v>
      </c>
      <c r="L22" s="8" t="n">
        <v>46203</v>
      </c>
      <c r="M22" s="5" t="s">
        <v>190</v>
      </c>
      <c r="N22" s="8" t="n">
        <v>46171</v>
      </c>
    </row>
    <row r="23" customFormat="false" ht="22.35" hidden="false" customHeight="false" outlineLevel="0" collapsed="false">
      <c r="A23" s="10" t="s">
        <v>191</v>
      </c>
      <c r="B23" s="6" t="s">
        <v>64</v>
      </c>
      <c r="C23" s="7" t="s">
        <v>142</v>
      </c>
      <c r="D23" s="7" t="s">
        <v>176</v>
      </c>
      <c r="E23" s="5" t="s">
        <v>192</v>
      </c>
      <c r="F23" s="8" t="n">
        <v>46091</v>
      </c>
      <c r="G23" s="6" t="s">
        <v>131</v>
      </c>
      <c r="H23" s="7" t="s">
        <v>124</v>
      </c>
      <c r="I23" s="7" t="s">
        <v>115</v>
      </c>
      <c r="J23" s="10" t="s">
        <v>132</v>
      </c>
      <c r="K23" s="7" t="s">
        <v>125</v>
      </c>
      <c r="L23" s="8" t="n">
        <v>46203</v>
      </c>
      <c r="M23" s="5" t="s">
        <v>193</v>
      </c>
      <c r="N23" s="8" t="n">
        <v>46164</v>
      </c>
    </row>
    <row r="24" customFormat="false" ht="22.35" hidden="false" customHeight="false" outlineLevel="0" collapsed="false">
      <c r="A24" s="10" t="s">
        <v>194</v>
      </c>
      <c r="B24" s="6" t="s">
        <v>34</v>
      </c>
      <c r="C24" s="7" t="s">
        <v>44</v>
      </c>
      <c r="D24" s="7" t="s">
        <v>136</v>
      </c>
      <c r="E24" s="5" t="s">
        <v>195</v>
      </c>
      <c r="F24" s="8" t="n">
        <v>46113</v>
      </c>
      <c r="G24" s="6" t="s">
        <v>138</v>
      </c>
      <c r="H24" s="7" t="s">
        <v>115</v>
      </c>
      <c r="I24" s="7" t="s">
        <v>116</v>
      </c>
      <c r="J24" s="10" t="s">
        <v>117</v>
      </c>
      <c r="K24" s="7" t="s">
        <v>118</v>
      </c>
      <c r="L24" s="8" t="n">
        <v>46234</v>
      </c>
      <c r="M24" s="5" t="s">
        <v>196</v>
      </c>
      <c r="N24" s="8" t="n">
        <v>46170</v>
      </c>
    </row>
    <row r="25" customFormat="false" ht="22.35" hidden="false" customHeight="false" outlineLevel="0" collapsed="false">
      <c r="A25" s="10" t="s">
        <v>197</v>
      </c>
      <c r="B25" s="6" t="s">
        <v>34</v>
      </c>
      <c r="C25" s="7" t="s">
        <v>142</v>
      </c>
      <c r="D25" s="7" t="s">
        <v>95</v>
      </c>
      <c r="E25" s="5" t="s">
        <v>198</v>
      </c>
      <c r="F25" s="8" t="n">
        <v>46099</v>
      </c>
      <c r="G25" s="6" t="s">
        <v>199</v>
      </c>
      <c r="H25" s="7" t="s">
        <v>124</v>
      </c>
      <c r="I25" s="7" t="s">
        <v>116</v>
      </c>
      <c r="J25" s="10" t="s">
        <v>117</v>
      </c>
      <c r="K25" s="7" t="s">
        <v>125</v>
      </c>
      <c r="L25" s="8" t="n">
        <v>46203</v>
      </c>
      <c r="M25" s="5" t="s">
        <v>200</v>
      </c>
      <c r="N25" s="8" t="n">
        <v>46166</v>
      </c>
    </row>
    <row r="26" customFormat="false" ht="22.35" hidden="false" customHeight="false" outlineLevel="0" collapsed="false">
      <c r="A26" s="10" t="s">
        <v>201</v>
      </c>
      <c r="B26" s="6" t="s">
        <v>50</v>
      </c>
      <c r="C26" s="7" t="s">
        <v>44</v>
      </c>
      <c r="D26" s="7" t="s">
        <v>176</v>
      </c>
      <c r="E26" s="5" t="s">
        <v>202</v>
      </c>
      <c r="F26" s="8" t="n">
        <v>46126</v>
      </c>
      <c r="G26" s="6" t="s">
        <v>54</v>
      </c>
      <c r="H26" s="7" t="s">
        <v>115</v>
      </c>
      <c r="I26" s="7" t="s">
        <v>116</v>
      </c>
      <c r="J26" s="10" t="s">
        <v>117</v>
      </c>
      <c r="K26" s="7" t="s">
        <v>125</v>
      </c>
      <c r="L26" s="8" t="n">
        <v>46234</v>
      </c>
      <c r="M26" s="5" t="s">
        <v>203</v>
      </c>
      <c r="N26" s="8" t="n">
        <v>46169</v>
      </c>
    </row>
    <row r="27" customFormat="false" ht="15" hidden="false" customHeight="false" outlineLevel="0" collapsed="false">
      <c r="A27" s="10" t="s">
        <v>204</v>
      </c>
      <c r="B27" s="6" t="s">
        <v>70</v>
      </c>
      <c r="C27" s="7" t="s">
        <v>128</v>
      </c>
      <c r="D27" s="7" t="s">
        <v>129</v>
      </c>
      <c r="E27" s="5" t="s">
        <v>205</v>
      </c>
      <c r="F27" s="8" t="n">
        <v>46134</v>
      </c>
      <c r="G27" s="6" t="s">
        <v>73</v>
      </c>
      <c r="H27" s="7" t="s">
        <v>124</v>
      </c>
      <c r="I27" s="7" t="s">
        <v>115</v>
      </c>
      <c r="J27" s="10" t="s">
        <v>132</v>
      </c>
      <c r="K27" s="7" t="s">
        <v>133</v>
      </c>
      <c r="L27" s="8" t="n">
        <v>46193</v>
      </c>
      <c r="M27" s="5" t="s">
        <v>206</v>
      </c>
      <c r="N27" s="8" t="n">
        <v>46171</v>
      </c>
    </row>
    <row r="28" customFormat="false" ht="22.35" hidden="false" customHeight="false" outlineLevel="0" collapsed="false">
      <c r="A28" s="10" t="s">
        <v>207</v>
      </c>
      <c r="B28" s="6" t="s">
        <v>70</v>
      </c>
      <c r="C28" s="7" t="s">
        <v>121</v>
      </c>
      <c r="D28" s="7" t="s">
        <v>136</v>
      </c>
      <c r="E28" s="5" t="s">
        <v>208</v>
      </c>
      <c r="F28" s="8" t="n">
        <v>46122</v>
      </c>
      <c r="G28" s="6" t="s">
        <v>138</v>
      </c>
      <c r="H28" s="7" t="s">
        <v>124</v>
      </c>
      <c r="I28" s="7" t="s">
        <v>116</v>
      </c>
      <c r="J28" s="10" t="s">
        <v>117</v>
      </c>
      <c r="K28" s="7" t="s">
        <v>125</v>
      </c>
      <c r="L28" s="8" t="n">
        <v>46198</v>
      </c>
      <c r="M28" s="5" t="s">
        <v>209</v>
      </c>
      <c r="N28" s="8" t="n">
        <v>46170</v>
      </c>
    </row>
    <row r="29" customFormat="false" ht="22.35" hidden="false" customHeight="false" outlineLevel="0" collapsed="false">
      <c r="A29" s="10" t="s">
        <v>210</v>
      </c>
      <c r="B29" s="6" t="s">
        <v>76</v>
      </c>
      <c r="C29" s="7" t="s">
        <v>142</v>
      </c>
      <c r="D29" s="7" t="s">
        <v>176</v>
      </c>
      <c r="E29" s="5" t="s">
        <v>211</v>
      </c>
      <c r="F29" s="8" t="n">
        <v>46101</v>
      </c>
      <c r="G29" s="6" t="s">
        <v>46</v>
      </c>
      <c r="H29" s="7" t="s">
        <v>124</v>
      </c>
      <c r="I29" s="7" t="s">
        <v>115</v>
      </c>
      <c r="J29" s="10" t="s">
        <v>132</v>
      </c>
      <c r="K29" s="7" t="s">
        <v>125</v>
      </c>
      <c r="L29" s="8" t="n">
        <v>46265</v>
      </c>
      <c r="M29" s="5" t="s">
        <v>212</v>
      </c>
      <c r="N29" s="8" t="n">
        <v>46162</v>
      </c>
    </row>
    <row r="30" customFormat="false" ht="22.35" hidden="false" customHeight="false" outlineLevel="0" collapsed="false">
      <c r="A30" s="10" t="s">
        <v>213</v>
      </c>
      <c r="B30" s="6" t="s">
        <v>76</v>
      </c>
      <c r="C30" s="7" t="s">
        <v>44</v>
      </c>
      <c r="D30" s="7" t="s">
        <v>165</v>
      </c>
      <c r="E30" s="5" t="s">
        <v>214</v>
      </c>
      <c r="F30" s="8" t="n">
        <v>46117</v>
      </c>
      <c r="G30" s="6" t="s">
        <v>199</v>
      </c>
      <c r="H30" s="7" t="s">
        <v>115</v>
      </c>
      <c r="I30" s="7" t="s">
        <v>115</v>
      </c>
      <c r="J30" s="10" t="s">
        <v>132</v>
      </c>
      <c r="K30" s="7" t="s">
        <v>125</v>
      </c>
      <c r="L30" s="8" t="n">
        <v>46218</v>
      </c>
      <c r="M30" s="5" t="s">
        <v>215</v>
      </c>
      <c r="N30" s="8" t="n">
        <v>46167</v>
      </c>
    </row>
    <row r="31" customFormat="false" ht="15" hidden="false" customHeight="false" outlineLevel="0" collapsed="false">
      <c r="A31" s="10" t="s">
        <v>216</v>
      </c>
      <c r="B31" s="6" t="s">
        <v>24</v>
      </c>
      <c r="C31" s="7" t="s">
        <v>44</v>
      </c>
      <c r="D31" s="7" t="s">
        <v>165</v>
      </c>
      <c r="E31" s="5" t="s">
        <v>217</v>
      </c>
      <c r="F31" s="8" t="n">
        <v>46144</v>
      </c>
      <c r="G31" s="6" t="s">
        <v>28</v>
      </c>
      <c r="H31" s="7" t="s">
        <v>115</v>
      </c>
      <c r="I31" s="7" t="s">
        <v>115</v>
      </c>
      <c r="J31" s="10" t="s">
        <v>132</v>
      </c>
      <c r="K31" s="7" t="s">
        <v>125</v>
      </c>
      <c r="L31" s="8" t="n">
        <v>46188</v>
      </c>
      <c r="M31" s="5" t="s">
        <v>218</v>
      </c>
      <c r="N31" s="8" t="n">
        <v>46172</v>
      </c>
    </row>
    <row r="32" customFormat="false" ht="15" hidden="false" customHeight="false" outlineLevel="0" collapsed="false">
      <c r="A32" s="10" t="s">
        <v>219</v>
      </c>
      <c r="B32" s="6" t="s">
        <v>84</v>
      </c>
      <c r="C32" s="7" t="s">
        <v>128</v>
      </c>
      <c r="D32" s="7" t="s">
        <v>129</v>
      </c>
      <c r="E32" s="5" t="s">
        <v>220</v>
      </c>
      <c r="F32" s="8" t="n">
        <v>46096</v>
      </c>
      <c r="G32" s="6" t="s">
        <v>60</v>
      </c>
      <c r="H32" s="7" t="s">
        <v>124</v>
      </c>
      <c r="I32" s="7" t="s">
        <v>221</v>
      </c>
      <c r="J32" s="10" t="s">
        <v>222</v>
      </c>
      <c r="K32" s="7" t="s">
        <v>223</v>
      </c>
      <c r="L32" s="8" t="n">
        <v>46142</v>
      </c>
      <c r="M32" s="5" t="s">
        <v>224</v>
      </c>
      <c r="N32" s="8" t="n">
        <v>46140</v>
      </c>
    </row>
    <row r="33" customFormat="false" ht="22.35" hidden="false" customHeight="false" outlineLevel="0" collapsed="false">
      <c r="A33" s="10" t="s">
        <v>225</v>
      </c>
      <c r="B33" s="6" t="s">
        <v>88</v>
      </c>
      <c r="C33" s="7" t="s">
        <v>44</v>
      </c>
      <c r="D33" s="7" t="s">
        <v>95</v>
      </c>
      <c r="E33" s="5" t="s">
        <v>226</v>
      </c>
      <c r="F33" s="8" t="n">
        <v>46128</v>
      </c>
      <c r="G33" s="6" t="s">
        <v>54</v>
      </c>
      <c r="H33" s="7" t="s">
        <v>115</v>
      </c>
      <c r="I33" s="7" t="s">
        <v>115</v>
      </c>
      <c r="J33" s="10" t="s">
        <v>132</v>
      </c>
      <c r="K33" s="7" t="s">
        <v>125</v>
      </c>
      <c r="L33" s="8" t="n">
        <v>46218</v>
      </c>
      <c r="M33" s="5" t="s">
        <v>227</v>
      </c>
      <c r="N33" s="8" t="n">
        <v>46169</v>
      </c>
    </row>
    <row r="34" customFormat="false" ht="22.35" hidden="false" customHeight="false" outlineLevel="0" collapsed="false">
      <c r="A34" s="10" t="s">
        <v>228</v>
      </c>
      <c r="B34" s="6" t="s">
        <v>88</v>
      </c>
      <c r="C34" s="7" t="s">
        <v>121</v>
      </c>
      <c r="D34" s="7" t="s">
        <v>129</v>
      </c>
      <c r="E34" s="5" t="s">
        <v>229</v>
      </c>
      <c r="F34" s="8" t="n">
        <v>46128</v>
      </c>
      <c r="G34" s="6" t="s">
        <v>73</v>
      </c>
      <c r="H34" s="7" t="s">
        <v>124</v>
      </c>
      <c r="I34" s="7" t="s">
        <v>115</v>
      </c>
      <c r="J34" s="10" t="s">
        <v>132</v>
      </c>
      <c r="K34" s="7" t="s">
        <v>125</v>
      </c>
      <c r="L34" s="8" t="n">
        <v>46265</v>
      </c>
      <c r="M34" s="5" t="s">
        <v>230</v>
      </c>
      <c r="N34" s="8" t="n">
        <v>46169</v>
      </c>
    </row>
    <row r="35" customFormat="false" ht="22.35" hidden="false" customHeight="false" outlineLevel="0" collapsed="false">
      <c r="A35" s="10" t="s">
        <v>231</v>
      </c>
      <c r="B35" s="6" t="s">
        <v>42</v>
      </c>
      <c r="C35" s="7" t="s">
        <v>128</v>
      </c>
      <c r="D35" s="7" t="s">
        <v>129</v>
      </c>
      <c r="E35" s="5" t="s">
        <v>232</v>
      </c>
      <c r="F35" s="8" t="n">
        <v>46147</v>
      </c>
      <c r="G35" s="6" t="s">
        <v>131</v>
      </c>
      <c r="H35" s="7" t="s">
        <v>124</v>
      </c>
      <c r="I35" s="7" t="s">
        <v>116</v>
      </c>
      <c r="J35" s="10" t="s">
        <v>117</v>
      </c>
      <c r="K35" s="7" t="s">
        <v>133</v>
      </c>
      <c r="L35" s="8" t="n">
        <v>46203</v>
      </c>
      <c r="M35" s="5" t="s">
        <v>233</v>
      </c>
      <c r="N35" s="8" t="n">
        <v>46172</v>
      </c>
    </row>
    <row r="36" customFormat="false" ht="22.35" hidden="false" customHeight="false" outlineLevel="0" collapsed="false">
      <c r="A36" s="10" t="s">
        <v>234</v>
      </c>
      <c r="B36" s="6" t="s">
        <v>80</v>
      </c>
      <c r="C36" s="7" t="s">
        <v>44</v>
      </c>
      <c r="D36" s="7" t="s">
        <v>153</v>
      </c>
      <c r="E36" s="5" t="s">
        <v>235</v>
      </c>
      <c r="F36" s="8" t="n">
        <v>46140</v>
      </c>
      <c r="G36" s="6" t="s">
        <v>155</v>
      </c>
      <c r="H36" s="7" t="s">
        <v>115</v>
      </c>
      <c r="I36" s="7" t="s">
        <v>115</v>
      </c>
      <c r="J36" s="10" t="s">
        <v>117</v>
      </c>
      <c r="K36" s="7" t="s">
        <v>125</v>
      </c>
      <c r="L36" s="8" t="n">
        <v>46203</v>
      </c>
      <c r="M36" s="5" t="s">
        <v>236</v>
      </c>
      <c r="N36" s="8" t="n">
        <v>46171</v>
      </c>
    </row>
  </sheetData>
  <autoFilter ref="A4:N36"/>
  <mergeCells count="2">
    <mergeCell ref="A1:N1"/>
    <mergeCell ref="A2:N2"/>
  </mergeCells>
  <conditionalFormatting sqref="J5:J36">
    <cfRule type="cellIs" priority="2" operator="equal" aboveAverage="0" equalAverage="0" bottom="0" percent="0" rank="0" text="" dxfId="10">
      <formula>"P1"</formula>
    </cfRule>
  </conditionalFormatting>
  <conditionalFormatting sqref="K5:K36">
    <cfRule type="cellIs" priority="3" operator="equal" aboveAverage="0" equalAverage="0" bottom="0" percent="0" rank="0" text="" dxfId="12">
      <formula>"Closed"</formula>
    </cfRule>
    <cfRule type="cellIs" priority="4" operator="equal" aboveAverage="0" equalAverage="0" bottom="0" percent="0" rank="0" text="" dxfId="11">
      <formula>"Open"</formula>
    </cfRule>
  </conditionalFormatting>
  <conditionalFormatting sqref="H5:H36">
    <cfRule type="cellIs" priority="5" operator="equal" aboveAverage="0" equalAverage="0" bottom="0" percent="0" rank="0" text="" dxfId="10">
      <formula>"High"</formula>
    </cfRule>
  </conditionalFormatting>
  <conditionalFormatting sqref="I5:I36">
    <cfRule type="cellIs" priority="6" operator="equal" aboveAverage="0" equalAverage="0" bottom="0" percent="0" rank="0" text="" dxfId="10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2" min="11" style="0" width="13"/>
  </cols>
  <sheetData>
    <row r="1" customFormat="false" ht="25.5" hidden="false" customHeight="true" outlineLevel="0" collapsed="false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7.5" hidden="false" customHeight="true" outlineLevel="0" collapsed="false">
      <c r="A4" s="3" t="s">
        <v>238</v>
      </c>
      <c r="B4" s="3" t="s">
        <v>239</v>
      </c>
      <c r="C4" s="3" t="s">
        <v>240</v>
      </c>
      <c r="D4" s="3" t="s">
        <v>241</v>
      </c>
      <c r="E4" s="3" t="s">
        <v>242</v>
      </c>
      <c r="F4" s="3" t="s">
        <v>122</v>
      </c>
      <c r="G4" s="3" t="s">
        <v>2</v>
      </c>
      <c r="H4" s="3" t="s">
        <v>3</v>
      </c>
      <c r="I4" s="3" t="s">
        <v>243</v>
      </c>
      <c r="J4" s="3" t="s">
        <v>244</v>
      </c>
      <c r="K4" s="3" t="s">
        <v>245</v>
      </c>
      <c r="L4" s="3" t="s">
        <v>246</v>
      </c>
    </row>
    <row r="5" customFormat="false" ht="15" hidden="false" customHeight="false" outlineLevel="0" collapsed="false">
      <c r="A5" s="6" t="s">
        <v>167</v>
      </c>
      <c r="B5" s="6" t="s">
        <v>247</v>
      </c>
      <c r="C5" s="7" t="s">
        <v>248</v>
      </c>
      <c r="D5" s="7" t="s">
        <v>249</v>
      </c>
      <c r="E5" s="7" t="s">
        <v>250</v>
      </c>
      <c r="F5" s="7" t="s">
        <v>124</v>
      </c>
      <c r="G5" s="6" t="s">
        <v>93</v>
      </c>
      <c r="H5" s="5" t="str">
        <f aca="false">IFERROR(VLOOKUP(G5,'Portfolio Tracker'!$A$5:$B$16,2,FALSE()),"")</f>
        <v>Customer 360 Data Platform</v>
      </c>
      <c r="I5" s="9" t="n">
        <v>0.25</v>
      </c>
      <c r="J5" s="14" t="n">
        <f aca="false">SUMIF($A$5:$A$65,$A5,$I$5:$I$65)</f>
        <v>0.9</v>
      </c>
      <c r="K5" s="8" t="n">
        <v>46113</v>
      </c>
      <c r="L5" s="8" t="n">
        <v>46295</v>
      </c>
    </row>
    <row r="6" customFormat="false" ht="15" hidden="false" customHeight="false" outlineLevel="0" collapsed="false">
      <c r="A6" s="6" t="s">
        <v>167</v>
      </c>
      <c r="B6" s="6" t="s">
        <v>247</v>
      </c>
      <c r="C6" s="7" t="s">
        <v>248</v>
      </c>
      <c r="D6" s="7" t="s">
        <v>249</v>
      </c>
      <c r="E6" s="7" t="s">
        <v>250</v>
      </c>
      <c r="F6" s="7" t="s">
        <v>124</v>
      </c>
      <c r="G6" s="6" t="s">
        <v>56</v>
      </c>
      <c r="H6" s="5" t="str">
        <f aca="false">IFERROR(VLOOKUP(G6,'Portfolio Tracker'!$A$5:$B$16,2,FALSE()),"")</f>
        <v>Oracle Cloud Infrastructure Migration – Wave 2</v>
      </c>
      <c r="I6" s="9" t="n">
        <v>0.25</v>
      </c>
      <c r="J6" s="14" t="n">
        <f aca="false">SUMIF($A$5:$A$65,$A6,$I$5:$I$65)</f>
        <v>0.9</v>
      </c>
      <c r="K6" s="8" t="n">
        <v>46113</v>
      </c>
      <c r="L6" s="8" t="n">
        <v>46295</v>
      </c>
    </row>
    <row r="7" customFormat="false" ht="22.35" hidden="false" customHeight="false" outlineLevel="0" collapsed="false">
      <c r="A7" s="6" t="s">
        <v>167</v>
      </c>
      <c r="B7" s="6" t="s">
        <v>247</v>
      </c>
      <c r="C7" s="7" t="s">
        <v>248</v>
      </c>
      <c r="D7" s="7" t="s">
        <v>249</v>
      </c>
      <c r="E7" s="7" t="s">
        <v>250</v>
      </c>
      <c r="F7" s="7" t="s">
        <v>124</v>
      </c>
      <c r="G7" s="6" t="s">
        <v>24</v>
      </c>
      <c r="H7" s="5" t="str">
        <f aca="false">IFERROR(VLOOKUP(G7,'Portfolio Tracker'!$A$5:$B$16,2,FALSE()),"")</f>
        <v>Core Lending Platform Migration – Phase 2 (Commercial &amp; SME)</v>
      </c>
      <c r="I7" s="9" t="n">
        <v>0.2</v>
      </c>
      <c r="J7" s="14" t="n">
        <f aca="false">SUMIF($A$5:$A$65,$A7,$I$5:$I$65)</f>
        <v>0.9</v>
      </c>
      <c r="K7" s="8" t="n">
        <v>46113</v>
      </c>
      <c r="L7" s="8" t="n">
        <v>46295</v>
      </c>
    </row>
    <row r="8" customFormat="false" ht="15" hidden="false" customHeight="false" outlineLevel="0" collapsed="false">
      <c r="A8" s="6" t="s">
        <v>167</v>
      </c>
      <c r="B8" s="6" t="s">
        <v>247</v>
      </c>
      <c r="C8" s="7" t="s">
        <v>248</v>
      </c>
      <c r="D8" s="7" t="s">
        <v>249</v>
      </c>
      <c r="E8" s="7" t="s">
        <v>250</v>
      </c>
      <c r="F8" s="7" t="s">
        <v>124</v>
      </c>
      <c r="G8" s="6" t="s">
        <v>42</v>
      </c>
      <c r="H8" s="5" t="str">
        <f aca="false">IFERROR(VLOOKUP(G8,'Portfolio Tracker'!$A$5:$B$16,2,FALSE()),"")</f>
        <v>FinAI – Explainable AI for Risk &amp; Underwriting</v>
      </c>
      <c r="I8" s="9" t="n">
        <v>0.2</v>
      </c>
      <c r="J8" s="14" t="n">
        <f aca="false">SUMIF($A$5:$A$65,$A8,$I$5:$I$65)</f>
        <v>0.9</v>
      </c>
      <c r="K8" s="8" t="n">
        <v>46113</v>
      </c>
      <c r="L8" s="8" t="n">
        <v>46295</v>
      </c>
    </row>
    <row r="9" customFormat="false" ht="22.35" hidden="false" customHeight="false" outlineLevel="0" collapsed="false">
      <c r="A9" s="6" t="s">
        <v>28</v>
      </c>
      <c r="B9" s="6" t="s">
        <v>251</v>
      </c>
      <c r="C9" s="7" t="s">
        <v>252</v>
      </c>
      <c r="D9" s="7" t="s">
        <v>249</v>
      </c>
      <c r="E9" s="7" t="s">
        <v>250</v>
      </c>
      <c r="F9" s="7" t="s">
        <v>124</v>
      </c>
      <c r="G9" s="6" t="s">
        <v>24</v>
      </c>
      <c r="H9" s="5" t="str">
        <f aca="false">IFERROR(VLOOKUP(G9,'Portfolio Tracker'!$A$5:$B$16,2,FALSE()),"")</f>
        <v>Core Lending Platform Migration – Phase 2 (Commercial &amp; SME)</v>
      </c>
      <c r="I9" s="9" t="n">
        <v>0.6</v>
      </c>
      <c r="J9" s="14" t="n">
        <f aca="false">SUMIF($A$5:$A$65,$A9,$I$5:$I$65)</f>
        <v>1.1</v>
      </c>
      <c r="K9" s="8" t="n">
        <v>46113</v>
      </c>
      <c r="L9" s="8" t="n">
        <v>46295</v>
      </c>
    </row>
    <row r="10" customFormat="false" ht="15" hidden="false" customHeight="false" outlineLevel="0" collapsed="false">
      <c r="A10" s="6" t="s">
        <v>28</v>
      </c>
      <c r="B10" s="6" t="s">
        <v>251</v>
      </c>
      <c r="C10" s="7" t="s">
        <v>252</v>
      </c>
      <c r="D10" s="7" t="s">
        <v>249</v>
      </c>
      <c r="E10" s="7" t="s">
        <v>250</v>
      </c>
      <c r="F10" s="7" t="s">
        <v>124</v>
      </c>
      <c r="G10" s="6" t="s">
        <v>80</v>
      </c>
      <c r="H10" s="5" t="str">
        <f aca="false">IFERROR(VLOOKUP(G10,'Portfolio Tracker'!$A$5:$B$16,2,FALSE()),"")</f>
        <v>Digital Loan Origination System Upgrade</v>
      </c>
      <c r="I10" s="9" t="n">
        <v>0.5</v>
      </c>
      <c r="J10" s="14" t="n">
        <f aca="false">SUMIF($A$5:$A$65,$A10,$I$5:$I$65)</f>
        <v>1.1</v>
      </c>
      <c r="K10" s="8" t="n">
        <v>46113</v>
      </c>
      <c r="L10" s="8" t="n">
        <v>46295</v>
      </c>
    </row>
    <row r="11" customFormat="false" ht="15" hidden="false" customHeight="false" outlineLevel="0" collapsed="false">
      <c r="A11" s="6" t="s">
        <v>38</v>
      </c>
      <c r="B11" s="6" t="s">
        <v>251</v>
      </c>
      <c r="C11" s="7" t="s">
        <v>252</v>
      </c>
      <c r="D11" s="7" t="s">
        <v>249</v>
      </c>
      <c r="E11" s="7" t="s">
        <v>250</v>
      </c>
      <c r="F11" s="7" t="s">
        <v>124</v>
      </c>
      <c r="G11" s="6" t="s">
        <v>34</v>
      </c>
      <c r="H11" s="5" t="str">
        <f aca="false">IFERROR(VLOOKUP(G11,'Portfolio Tracker'!$A$5:$B$16,2,FALSE()),"")</f>
        <v>FinAI – Conversational AI for Sales (BFL 3.0)</v>
      </c>
      <c r="I11" s="9" t="n">
        <v>0.5</v>
      </c>
      <c r="J11" s="14" t="n">
        <f aca="false">SUMIF($A$5:$A$65,$A11,$I$5:$I$65)</f>
        <v>1.1</v>
      </c>
      <c r="K11" s="8" t="n">
        <v>46113</v>
      </c>
      <c r="L11" s="8" t="n">
        <v>46295</v>
      </c>
    </row>
    <row r="12" customFormat="false" ht="15" hidden="false" customHeight="false" outlineLevel="0" collapsed="false">
      <c r="A12" s="6" t="s">
        <v>38</v>
      </c>
      <c r="B12" s="6" t="s">
        <v>251</v>
      </c>
      <c r="C12" s="7" t="s">
        <v>252</v>
      </c>
      <c r="D12" s="7" t="s">
        <v>249</v>
      </c>
      <c r="E12" s="7" t="s">
        <v>250</v>
      </c>
      <c r="F12" s="7" t="s">
        <v>124</v>
      </c>
      <c r="G12" s="6" t="s">
        <v>64</v>
      </c>
      <c r="H12" s="5" t="str">
        <f aca="false">IFERROR(VLOOKUP(G12,'Portfolio Tracker'!$A$5:$B$16,2,FALSE()),"")</f>
        <v>Bajaj Finserv Super-App Re-platform</v>
      </c>
      <c r="I12" s="9" t="n">
        <v>0.6</v>
      </c>
      <c r="J12" s="14" t="n">
        <f aca="false">SUMIF($A$5:$A$65,$A12,$I$5:$I$65)</f>
        <v>1.1</v>
      </c>
      <c r="K12" s="8" t="n">
        <v>46113</v>
      </c>
      <c r="L12" s="8" t="n">
        <v>46295</v>
      </c>
    </row>
    <row r="13" customFormat="false" ht="15" hidden="false" customHeight="false" outlineLevel="0" collapsed="false">
      <c r="A13" s="6" t="s">
        <v>46</v>
      </c>
      <c r="B13" s="6" t="s">
        <v>253</v>
      </c>
      <c r="C13" s="7" t="s">
        <v>254</v>
      </c>
      <c r="D13" s="7" t="s">
        <v>249</v>
      </c>
      <c r="E13" s="7" t="s">
        <v>250</v>
      </c>
      <c r="F13" s="7" t="s">
        <v>124</v>
      </c>
      <c r="G13" s="6" t="s">
        <v>42</v>
      </c>
      <c r="H13" s="5" t="str">
        <f aca="false">IFERROR(VLOOKUP(G13,'Portfolio Tracker'!$A$5:$B$16,2,FALSE()),"")</f>
        <v>FinAI – Explainable AI for Risk &amp; Underwriting</v>
      </c>
      <c r="I13" s="9" t="n">
        <v>0.5</v>
      </c>
      <c r="J13" s="14" t="n">
        <f aca="false">SUMIF($A$5:$A$65,$A13,$I$5:$I$65)</f>
        <v>1.1</v>
      </c>
      <c r="K13" s="8" t="n">
        <v>46113</v>
      </c>
      <c r="L13" s="8" t="n">
        <v>46295</v>
      </c>
    </row>
    <row r="14" customFormat="false" ht="15" hidden="false" customHeight="false" outlineLevel="0" collapsed="false">
      <c r="A14" s="6" t="s">
        <v>46</v>
      </c>
      <c r="B14" s="6" t="s">
        <v>253</v>
      </c>
      <c r="C14" s="7" t="s">
        <v>254</v>
      </c>
      <c r="D14" s="7" t="s">
        <v>249</v>
      </c>
      <c r="E14" s="7" t="s">
        <v>250</v>
      </c>
      <c r="F14" s="7" t="s">
        <v>124</v>
      </c>
      <c r="G14" s="6" t="s">
        <v>76</v>
      </c>
      <c r="H14" s="5" t="str">
        <f aca="false">IFERROR(VLOOKUP(G14,'Portfolio Tracker'!$A$5:$B$16,2,FALSE()),"")</f>
        <v>Green Finance – Solar &amp; EV Financing Onboarding</v>
      </c>
      <c r="I14" s="9" t="n">
        <v>0.3</v>
      </c>
      <c r="J14" s="14" t="n">
        <f aca="false">SUMIF($A$5:$A$65,$A14,$I$5:$I$65)</f>
        <v>1.1</v>
      </c>
      <c r="K14" s="8" t="n">
        <v>46113</v>
      </c>
      <c r="L14" s="8" t="n">
        <v>46295</v>
      </c>
    </row>
    <row r="15" customFormat="false" ht="15" hidden="false" customHeight="false" outlineLevel="0" collapsed="false">
      <c r="A15" s="6" t="s">
        <v>46</v>
      </c>
      <c r="B15" s="6" t="s">
        <v>253</v>
      </c>
      <c r="C15" s="7" t="s">
        <v>254</v>
      </c>
      <c r="D15" s="7" t="s">
        <v>249</v>
      </c>
      <c r="E15" s="7" t="s">
        <v>250</v>
      </c>
      <c r="F15" s="7" t="s">
        <v>124</v>
      </c>
      <c r="G15" s="6" t="s">
        <v>80</v>
      </c>
      <c r="H15" s="5" t="str">
        <f aca="false">IFERROR(VLOOKUP(G15,'Portfolio Tracker'!$A$5:$B$16,2,FALSE()),"")</f>
        <v>Digital Loan Origination System Upgrade</v>
      </c>
      <c r="I15" s="9" t="n">
        <v>0.3</v>
      </c>
      <c r="J15" s="14" t="n">
        <f aca="false">SUMIF($A$5:$A$65,$A15,$I$5:$I$65)</f>
        <v>1.1</v>
      </c>
      <c r="K15" s="8" t="n">
        <v>46113</v>
      </c>
      <c r="L15" s="8" t="n">
        <v>46295</v>
      </c>
    </row>
    <row r="16" customFormat="false" ht="15" hidden="false" customHeight="false" outlineLevel="0" collapsed="false">
      <c r="A16" s="6" t="s">
        <v>54</v>
      </c>
      <c r="B16" s="6" t="s">
        <v>253</v>
      </c>
      <c r="C16" s="7" t="s">
        <v>254</v>
      </c>
      <c r="D16" s="7" t="s">
        <v>255</v>
      </c>
      <c r="E16" s="7" t="s">
        <v>250</v>
      </c>
      <c r="F16" s="7" t="s">
        <v>124</v>
      </c>
      <c r="G16" s="6" t="s">
        <v>50</v>
      </c>
      <c r="H16" s="5" t="str">
        <f aca="false">IFERROR(VLOOKUP(G16,'Portfolio Tracker'!$A$5:$B$16,2,FALSE()),"")</f>
        <v>FinAI – Copilot/Autopilot in Operations &amp; Service</v>
      </c>
      <c r="I16" s="9" t="n">
        <v>0.5</v>
      </c>
      <c r="J16" s="14" t="n">
        <f aca="false">SUMIF($A$5:$A$65,$A16,$I$5:$I$65)</f>
        <v>1</v>
      </c>
      <c r="K16" s="8" t="n">
        <v>46113</v>
      </c>
      <c r="L16" s="8" t="n">
        <v>46295</v>
      </c>
    </row>
    <row r="17" customFormat="false" ht="22.35" hidden="false" customHeight="false" outlineLevel="0" collapsed="false">
      <c r="A17" s="6" t="s">
        <v>54</v>
      </c>
      <c r="B17" s="6" t="s">
        <v>253</v>
      </c>
      <c r="C17" s="7" t="s">
        <v>254</v>
      </c>
      <c r="D17" s="7" t="s">
        <v>255</v>
      </c>
      <c r="E17" s="7" t="s">
        <v>250</v>
      </c>
      <c r="F17" s="7" t="s">
        <v>124</v>
      </c>
      <c r="G17" s="6" t="s">
        <v>88</v>
      </c>
      <c r="H17" s="5" t="str">
        <f aca="false">IFERROR(VLOOKUP(G17,'Portfolio Tracker'!$A$5:$B$16,2,FALSE()),"")</f>
        <v>Adobe Experience Cloud – Campaign Personalisation</v>
      </c>
      <c r="I17" s="9" t="n">
        <v>0.5</v>
      </c>
      <c r="J17" s="14" t="n">
        <f aca="false">SUMIF($A$5:$A$65,$A17,$I$5:$I$65)</f>
        <v>1</v>
      </c>
      <c r="K17" s="8" t="n">
        <v>46113</v>
      </c>
      <c r="L17" s="8" t="n">
        <v>46295</v>
      </c>
    </row>
    <row r="18" customFormat="false" ht="15" hidden="false" customHeight="false" outlineLevel="0" collapsed="false">
      <c r="A18" s="6" t="s">
        <v>60</v>
      </c>
      <c r="B18" s="6" t="s">
        <v>253</v>
      </c>
      <c r="C18" s="7" t="s">
        <v>254</v>
      </c>
      <c r="D18" s="7" t="s">
        <v>249</v>
      </c>
      <c r="E18" s="7" t="s">
        <v>250</v>
      </c>
      <c r="F18" s="7" t="s">
        <v>124</v>
      </c>
      <c r="G18" s="6" t="s">
        <v>56</v>
      </c>
      <c r="H18" s="5" t="str">
        <f aca="false">IFERROR(VLOOKUP(G18,'Portfolio Tracker'!$A$5:$B$16,2,FALSE()),"")</f>
        <v>Oracle Cloud Infrastructure Migration – Wave 2</v>
      </c>
      <c r="I18" s="9" t="n">
        <v>0.6</v>
      </c>
      <c r="J18" s="14" t="n">
        <f aca="false">SUMIF($A$5:$A$65,$A18,$I$5:$I$65)</f>
        <v>0.8</v>
      </c>
      <c r="K18" s="8" t="n">
        <v>46113</v>
      </c>
      <c r="L18" s="8" t="n">
        <v>46295</v>
      </c>
    </row>
    <row r="19" customFormat="false" ht="15" hidden="false" customHeight="false" outlineLevel="0" collapsed="false">
      <c r="A19" s="6" t="s">
        <v>60</v>
      </c>
      <c r="B19" s="6" t="s">
        <v>253</v>
      </c>
      <c r="C19" s="7" t="s">
        <v>254</v>
      </c>
      <c r="D19" s="7" t="s">
        <v>249</v>
      </c>
      <c r="E19" s="7" t="s">
        <v>250</v>
      </c>
      <c r="F19" s="7" t="s">
        <v>124</v>
      </c>
      <c r="G19" s="6" t="s">
        <v>84</v>
      </c>
      <c r="H19" s="5" t="str">
        <f aca="false">IFERROR(VLOOKUP(G19,'Portfolio Tracker'!$A$5:$B$16,2,FALSE()),"")</f>
        <v>Observability Rollout – New Relic APM</v>
      </c>
      <c r="I19" s="9" t="n">
        <v>0.2</v>
      </c>
      <c r="J19" s="14" t="n">
        <f aca="false">SUMIF($A$5:$A$65,$A19,$I$5:$I$65)</f>
        <v>0.8</v>
      </c>
      <c r="K19" s="8" t="n">
        <v>46113</v>
      </c>
      <c r="L19" s="8" t="n">
        <v>46295</v>
      </c>
    </row>
    <row r="20" customFormat="false" ht="15" hidden="false" customHeight="false" outlineLevel="0" collapsed="false">
      <c r="A20" s="6" t="s">
        <v>73</v>
      </c>
      <c r="B20" s="6" t="s">
        <v>253</v>
      </c>
      <c r="C20" s="7" t="s">
        <v>254</v>
      </c>
      <c r="D20" s="7" t="s">
        <v>256</v>
      </c>
      <c r="E20" s="7" t="s">
        <v>250</v>
      </c>
      <c r="F20" s="7" t="s">
        <v>124</v>
      </c>
      <c r="G20" s="6" t="s">
        <v>70</v>
      </c>
      <c r="H20" s="5" t="str">
        <f aca="false">IFERROR(VLOOKUP(G20,'Portfolio Tracker'!$A$5:$B$16,2,FALSE()),"")</f>
        <v>AML Uplift – Azentio Amlock Upgrade</v>
      </c>
      <c r="I20" s="9" t="n">
        <v>0.4</v>
      </c>
      <c r="J20" s="14" t="n">
        <f aca="false">SUMIF($A$5:$A$65,$A20,$I$5:$I$65)</f>
        <v>0.9</v>
      </c>
      <c r="K20" s="8" t="n">
        <v>46113</v>
      </c>
      <c r="L20" s="8" t="n">
        <v>46295</v>
      </c>
    </row>
    <row r="21" customFormat="false" ht="15" hidden="false" customHeight="false" outlineLevel="0" collapsed="false">
      <c r="A21" s="6" t="s">
        <v>73</v>
      </c>
      <c r="B21" s="6" t="s">
        <v>253</v>
      </c>
      <c r="C21" s="7" t="s">
        <v>254</v>
      </c>
      <c r="D21" s="7" t="s">
        <v>256</v>
      </c>
      <c r="E21" s="7" t="s">
        <v>250</v>
      </c>
      <c r="F21" s="7" t="s">
        <v>124</v>
      </c>
      <c r="G21" s="6" t="s">
        <v>93</v>
      </c>
      <c r="H21" s="5" t="str">
        <f aca="false">IFERROR(VLOOKUP(G21,'Portfolio Tracker'!$A$5:$B$16,2,FALSE()),"")</f>
        <v>Customer 360 Data Platform</v>
      </c>
      <c r="I21" s="9" t="n">
        <v>0.5</v>
      </c>
      <c r="J21" s="14" t="n">
        <f aca="false">SUMIF($A$5:$A$65,$A21,$I$5:$I$65)</f>
        <v>0.9</v>
      </c>
      <c r="K21" s="8" t="n">
        <v>46113</v>
      </c>
      <c r="L21" s="8" t="n">
        <v>46295</v>
      </c>
    </row>
    <row r="22" customFormat="false" ht="15" hidden="false" customHeight="false" outlineLevel="0" collapsed="false">
      <c r="A22" s="6" t="s">
        <v>199</v>
      </c>
      <c r="B22" s="6" t="s">
        <v>257</v>
      </c>
      <c r="C22" s="7" t="s">
        <v>254</v>
      </c>
      <c r="D22" s="7" t="s">
        <v>249</v>
      </c>
      <c r="E22" s="7" t="s">
        <v>250</v>
      </c>
      <c r="F22" s="7" t="s">
        <v>124</v>
      </c>
      <c r="G22" s="6" t="s">
        <v>34</v>
      </c>
      <c r="H22" s="5" t="str">
        <f aca="false">IFERROR(VLOOKUP(G22,'Portfolio Tracker'!$A$5:$B$16,2,FALSE()),"")</f>
        <v>FinAI – Conversational AI for Sales (BFL 3.0)</v>
      </c>
      <c r="I22" s="9" t="n">
        <v>0.3</v>
      </c>
      <c r="J22" s="14" t="n">
        <f aca="false">SUMIF($A$5:$A$65,$A22,$I$5:$I$65)</f>
        <v>1</v>
      </c>
      <c r="K22" s="8" t="n">
        <v>46113</v>
      </c>
      <c r="L22" s="8" t="n">
        <v>46295</v>
      </c>
    </row>
    <row r="23" customFormat="false" ht="15" hidden="false" customHeight="false" outlineLevel="0" collapsed="false">
      <c r="A23" s="6" t="s">
        <v>199</v>
      </c>
      <c r="B23" s="6" t="s">
        <v>257</v>
      </c>
      <c r="C23" s="7" t="s">
        <v>254</v>
      </c>
      <c r="D23" s="7" t="s">
        <v>249</v>
      </c>
      <c r="E23" s="7" t="s">
        <v>250</v>
      </c>
      <c r="F23" s="7" t="s">
        <v>124</v>
      </c>
      <c r="G23" s="6" t="s">
        <v>76</v>
      </c>
      <c r="H23" s="5" t="str">
        <f aca="false">IFERROR(VLOOKUP(G23,'Portfolio Tracker'!$A$5:$B$16,2,FALSE()),"")</f>
        <v>Green Finance – Solar &amp; EV Financing Onboarding</v>
      </c>
      <c r="I23" s="9" t="n">
        <v>0.3</v>
      </c>
      <c r="J23" s="14" t="n">
        <f aca="false">SUMIF($A$5:$A$65,$A23,$I$5:$I$65)</f>
        <v>1</v>
      </c>
      <c r="K23" s="8" t="n">
        <v>46113</v>
      </c>
      <c r="L23" s="8" t="n">
        <v>46295</v>
      </c>
    </row>
    <row r="24" customFormat="false" ht="15" hidden="false" customHeight="false" outlineLevel="0" collapsed="false">
      <c r="A24" s="6" t="s">
        <v>199</v>
      </c>
      <c r="B24" s="6" t="s">
        <v>257</v>
      </c>
      <c r="C24" s="7" t="s">
        <v>254</v>
      </c>
      <c r="D24" s="7" t="s">
        <v>249</v>
      </c>
      <c r="E24" s="7" t="s">
        <v>250</v>
      </c>
      <c r="F24" s="7" t="s">
        <v>124</v>
      </c>
      <c r="G24" s="6" t="s">
        <v>80</v>
      </c>
      <c r="H24" s="5" t="str">
        <f aca="false">IFERROR(VLOOKUP(G24,'Portfolio Tracker'!$A$5:$B$16,2,FALSE()),"")</f>
        <v>Digital Loan Origination System Upgrade</v>
      </c>
      <c r="I24" s="9" t="n">
        <v>0.4</v>
      </c>
      <c r="J24" s="14" t="n">
        <f aca="false">SUMIF($A$5:$A$65,$A24,$I$5:$I$65)</f>
        <v>1</v>
      </c>
      <c r="K24" s="8" t="n">
        <v>46113</v>
      </c>
      <c r="L24" s="8" t="n">
        <v>46295</v>
      </c>
    </row>
    <row r="25" customFormat="false" ht="22.35" hidden="false" customHeight="false" outlineLevel="0" collapsed="false">
      <c r="A25" s="6" t="s">
        <v>258</v>
      </c>
      <c r="B25" s="6" t="s">
        <v>259</v>
      </c>
      <c r="C25" s="7" t="s">
        <v>260</v>
      </c>
      <c r="D25" s="7" t="s">
        <v>249</v>
      </c>
      <c r="E25" s="7" t="s">
        <v>250</v>
      </c>
      <c r="F25" s="7" t="s">
        <v>124</v>
      </c>
      <c r="G25" s="6" t="s">
        <v>24</v>
      </c>
      <c r="H25" s="5" t="str">
        <f aca="false">IFERROR(VLOOKUP(G25,'Portfolio Tracker'!$A$5:$B$16,2,FALSE()),"")</f>
        <v>Core Lending Platform Migration – Phase 2 (Commercial &amp; SME)</v>
      </c>
      <c r="I25" s="9" t="n">
        <v>0.5</v>
      </c>
      <c r="J25" s="14" t="n">
        <f aca="false">SUMIF($A$5:$A$65,$A25,$I$5:$I$65)</f>
        <v>1</v>
      </c>
      <c r="K25" s="8" t="n">
        <v>46113</v>
      </c>
      <c r="L25" s="8" t="n">
        <v>46295</v>
      </c>
    </row>
    <row r="26" customFormat="false" ht="15" hidden="false" customHeight="false" outlineLevel="0" collapsed="false">
      <c r="A26" s="6" t="s">
        <v>258</v>
      </c>
      <c r="B26" s="6" t="s">
        <v>259</v>
      </c>
      <c r="C26" s="7" t="s">
        <v>260</v>
      </c>
      <c r="D26" s="7" t="s">
        <v>249</v>
      </c>
      <c r="E26" s="7" t="s">
        <v>250</v>
      </c>
      <c r="F26" s="7" t="s">
        <v>124</v>
      </c>
      <c r="G26" s="6" t="s">
        <v>80</v>
      </c>
      <c r="H26" s="5" t="str">
        <f aca="false">IFERROR(VLOOKUP(G26,'Portfolio Tracker'!$A$5:$B$16,2,FALSE()),"")</f>
        <v>Digital Loan Origination System Upgrade</v>
      </c>
      <c r="I26" s="9" t="n">
        <v>0.5</v>
      </c>
      <c r="J26" s="14" t="n">
        <f aca="false">SUMIF($A$5:$A$65,$A26,$I$5:$I$65)</f>
        <v>1</v>
      </c>
      <c r="K26" s="8" t="n">
        <v>46113</v>
      </c>
      <c r="L26" s="8" t="n">
        <v>46295</v>
      </c>
    </row>
    <row r="27" customFormat="false" ht="15" hidden="false" customHeight="false" outlineLevel="0" collapsed="false">
      <c r="A27" s="6" t="s">
        <v>261</v>
      </c>
      <c r="B27" s="6" t="s">
        <v>259</v>
      </c>
      <c r="C27" s="7" t="s">
        <v>260</v>
      </c>
      <c r="D27" s="7" t="s">
        <v>255</v>
      </c>
      <c r="E27" s="7" t="s">
        <v>250</v>
      </c>
      <c r="F27" s="7" t="s">
        <v>124</v>
      </c>
      <c r="G27" s="6" t="s">
        <v>64</v>
      </c>
      <c r="H27" s="5" t="str">
        <f aca="false">IFERROR(VLOOKUP(G27,'Portfolio Tracker'!$A$5:$B$16,2,FALSE()),"")</f>
        <v>Bajaj Finserv Super-App Re-platform</v>
      </c>
      <c r="I27" s="9" t="n">
        <v>0.5</v>
      </c>
      <c r="J27" s="14" t="n">
        <f aca="false">SUMIF($A$5:$A$65,$A27,$I$5:$I$65)</f>
        <v>1</v>
      </c>
      <c r="K27" s="8" t="n">
        <v>46113</v>
      </c>
      <c r="L27" s="8" t="n">
        <v>46295</v>
      </c>
    </row>
    <row r="28" customFormat="false" ht="22.35" hidden="false" customHeight="false" outlineLevel="0" collapsed="false">
      <c r="A28" s="6" t="s">
        <v>261</v>
      </c>
      <c r="B28" s="6" t="s">
        <v>259</v>
      </c>
      <c r="C28" s="7" t="s">
        <v>260</v>
      </c>
      <c r="D28" s="7" t="s">
        <v>255</v>
      </c>
      <c r="E28" s="7" t="s">
        <v>250</v>
      </c>
      <c r="F28" s="7" t="s">
        <v>124</v>
      </c>
      <c r="G28" s="6" t="s">
        <v>88</v>
      </c>
      <c r="H28" s="5" t="str">
        <f aca="false">IFERROR(VLOOKUP(G28,'Portfolio Tracker'!$A$5:$B$16,2,FALSE()),"")</f>
        <v>Adobe Experience Cloud – Campaign Personalisation</v>
      </c>
      <c r="I28" s="9" t="n">
        <v>0.5</v>
      </c>
      <c r="J28" s="14" t="n">
        <f aca="false">SUMIF($A$5:$A$65,$A28,$I$5:$I$65)</f>
        <v>1</v>
      </c>
      <c r="K28" s="8" t="n">
        <v>46113</v>
      </c>
      <c r="L28" s="8" t="n">
        <v>46295</v>
      </c>
    </row>
    <row r="29" customFormat="false" ht="15" hidden="false" customHeight="false" outlineLevel="0" collapsed="false">
      <c r="A29" s="6" t="s">
        <v>262</v>
      </c>
      <c r="B29" s="6" t="s">
        <v>263</v>
      </c>
      <c r="C29" s="7" t="s">
        <v>260</v>
      </c>
      <c r="D29" s="7" t="s">
        <v>249</v>
      </c>
      <c r="E29" s="7" t="s">
        <v>250</v>
      </c>
      <c r="F29" s="7" t="s">
        <v>124</v>
      </c>
      <c r="G29" s="6" t="s">
        <v>56</v>
      </c>
      <c r="H29" s="5" t="str">
        <f aca="false">IFERROR(VLOOKUP(G29,'Portfolio Tracker'!$A$5:$B$16,2,FALSE()),"")</f>
        <v>Oracle Cloud Infrastructure Migration – Wave 2</v>
      </c>
      <c r="I29" s="9" t="n">
        <v>0.5</v>
      </c>
      <c r="J29" s="14" t="n">
        <f aca="false">SUMIF($A$5:$A$65,$A29,$I$5:$I$65)</f>
        <v>1</v>
      </c>
      <c r="K29" s="8" t="n">
        <v>46113</v>
      </c>
      <c r="L29" s="8" t="n">
        <v>46295</v>
      </c>
    </row>
    <row r="30" customFormat="false" ht="15" hidden="false" customHeight="false" outlineLevel="0" collapsed="false">
      <c r="A30" s="6" t="s">
        <v>262</v>
      </c>
      <c r="B30" s="6" t="s">
        <v>263</v>
      </c>
      <c r="C30" s="7" t="s">
        <v>260</v>
      </c>
      <c r="D30" s="7" t="s">
        <v>249</v>
      </c>
      <c r="E30" s="7" t="s">
        <v>250</v>
      </c>
      <c r="F30" s="7" t="s">
        <v>124</v>
      </c>
      <c r="G30" s="6" t="s">
        <v>93</v>
      </c>
      <c r="H30" s="5" t="str">
        <f aca="false">IFERROR(VLOOKUP(G30,'Portfolio Tracker'!$A$5:$B$16,2,FALSE()),"")</f>
        <v>Customer 360 Data Platform</v>
      </c>
      <c r="I30" s="9" t="n">
        <v>0.5</v>
      </c>
      <c r="J30" s="14" t="n">
        <f aca="false">SUMIF($A$5:$A$65,$A30,$I$5:$I$65)</f>
        <v>1</v>
      </c>
      <c r="K30" s="8" t="n">
        <v>46113</v>
      </c>
      <c r="L30" s="8" t="n">
        <v>46295</v>
      </c>
    </row>
    <row r="31" customFormat="false" ht="22.35" hidden="false" customHeight="false" outlineLevel="0" collapsed="false">
      <c r="A31" s="6" t="s">
        <v>264</v>
      </c>
      <c r="B31" s="6" t="s">
        <v>263</v>
      </c>
      <c r="C31" s="7" t="s">
        <v>260</v>
      </c>
      <c r="D31" s="7" t="s">
        <v>249</v>
      </c>
      <c r="E31" s="7" t="s">
        <v>250</v>
      </c>
      <c r="F31" s="7" t="s">
        <v>124</v>
      </c>
      <c r="G31" s="6" t="s">
        <v>24</v>
      </c>
      <c r="H31" s="5" t="str">
        <f aca="false">IFERROR(VLOOKUP(G31,'Portfolio Tracker'!$A$5:$B$16,2,FALSE()),"")</f>
        <v>Core Lending Platform Migration – Phase 2 (Commercial &amp; SME)</v>
      </c>
      <c r="I31" s="9" t="n">
        <v>0.4</v>
      </c>
      <c r="J31" s="14" t="n">
        <f aca="false">SUMIF($A$5:$A$65,$A31,$I$5:$I$65)</f>
        <v>1</v>
      </c>
      <c r="K31" s="8" t="n">
        <v>46113</v>
      </c>
      <c r="L31" s="8" t="n">
        <v>46295</v>
      </c>
    </row>
    <row r="32" customFormat="false" ht="15" hidden="false" customHeight="false" outlineLevel="0" collapsed="false">
      <c r="A32" s="6" t="s">
        <v>264</v>
      </c>
      <c r="B32" s="6" t="s">
        <v>263</v>
      </c>
      <c r="C32" s="7" t="s">
        <v>260</v>
      </c>
      <c r="D32" s="7" t="s">
        <v>249</v>
      </c>
      <c r="E32" s="7" t="s">
        <v>250</v>
      </c>
      <c r="F32" s="7" t="s">
        <v>124</v>
      </c>
      <c r="G32" s="6" t="s">
        <v>42</v>
      </c>
      <c r="H32" s="5" t="str">
        <f aca="false">IFERROR(VLOOKUP(G32,'Portfolio Tracker'!$A$5:$B$16,2,FALSE()),"")</f>
        <v>FinAI – Explainable AI for Risk &amp; Underwriting</v>
      </c>
      <c r="I32" s="9" t="n">
        <v>0.3</v>
      </c>
      <c r="J32" s="14" t="n">
        <f aca="false">SUMIF($A$5:$A$65,$A32,$I$5:$I$65)</f>
        <v>1</v>
      </c>
      <c r="K32" s="8" t="n">
        <v>46113</v>
      </c>
      <c r="L32" s="8" t="n">
        <v>46295</v>
      </c>
    </row>
    <row r="33" customFormat="false" ht="15" hidden="false" customHeight="false" outlineLevel="0" collapsed="false">
      <c r="A33" s="6" t="s">
        <v>264</v>
      </c>
      <c r="B33" s="6" t="s">
        <v>263</v>
      </c>
      <c r="C33" s="7" t="s">
        <v>260</v>
      </c>
      <c r="D33" s="7" t="s">
        <v>249</v>
      </c>
      <c r="E33" s="7" t="s">
        <v>250</v>
      </c>
      <c r="F33" s="7" t="s">
        <v>124</v>
      </c>
      <c r="G33" s="6" t="s">
        <v>70</v>
      </c>
      <c r="H33" s="5" t="str">
        <f aca="false">IFERROR(VLOOKUP(G33,'Portfolio Tracker'!$A$5:$B$16,2,FALSE()),"")</f>
        <v>AML Uplift – Azentio Amlock Upgrade</v>
      </c>
      <c r="I33" s="9" t="n">
        <v>0.3</v>
      </c>
      <c r="J33" s="14" t="n">
        <f aca="false">SUMIF($A$5:$A$65,$A33,$I$5:$I$65)</f>
        <v>1</v>
      </c>
      <c r="K33" s="8" t="n">
        <v>46113</v>
      </c>
      <c r="L33" s="8" t="n">
        <v>46295</v>
      </c>
    </row>
    <row r="34" customFormat="false" ht="15" hidden="false" customHeight="false" outlineLevel="0" collapsed="false">
      <c r="A34" s="6" t="s">
        <v>131</v>
      </c>
      <c r="B34" s="6" t="s">
        <v>265</v>
      </c>
      <c r="C34" s="7" t="s">
        <v>252</v>
      </c>
      <c r="D34" s="7" t="s">
        <v>256</v>
      </c>
      <c r="E34" s="7" t="s">
        <v>250</v>
      </c>
      <c r="F34" s="7" t="s">
        <v>124</v>
      </c>
      <c r="G34" s="6" t="s">
        <v>64</v>
      </c>
      <c r="H34" s="5" t="str">
        <f aca="false">IFERROR(VLOOKUP(G34,'Portfolio Tracker'!$A$5:$B$16,2,FALSE()),"")</f>
        <v>Bajaj Finserv Super-App Re-platform</v>
      </c>
      <c r="I34" s="9" t="n">
        <v>0.4</v>
      </c>
      <c r="J34" s="14" t="n">
        <f aca="false">SUMIF($A$5:$A$65,$A34,$I$5:$I$65)</f>
        <v>1.2</v>
      </c>
      <c r="K34" s="8" t="n">
        <v>46113</v>
      </c>
      <c r="L34" s="8" t="n">
        <v>46295</v>
      </c>
    </row>
    <row r="35" customFormat="false" ht="15" hidden="false" customHeight="false" outlineLevel="0" collapsed="false">
      <c r="A35" s="6" t="s">
        <v>131</v>
      </c>
      <c r="B35" s="6" t="s">
        <v>265</v>
      </c>
      <c r="C35" s="7" t="s">
        <v>252</v>
      </c>
      <c r="D35" s="7" t="s">
        <v>256</v>
      </c>
      <c r="E35" s="7" t="s">
        <v>250</v>
      </c>
      <c r="F35" s="7" t="s">
        <v>124</v>
      </c>
      <c r="G35" s="6" t="s">
        <v>42</v>
      </c>
      <c r="H35" s="5" t="str">
        <f aca="false">IFERROR(VLOOKUP(G35,'Portfolio Tracker'!$A$5:$B$16,2,FALSE()),"")</f>
        <v>FinAI – Explainable AI for Risk &amp; Underwriting</v>
      </c>
      <c r="I35" s="9" t="n">
        <v>0.4</v>
      </c>
      <c r="J35" s="14" t="n">
        <f aca="false">SUMIF($A$5:$A$65,$A35,$I$5:$I$65)</f>
        <v>1.2</v>
      </c>
      <c r="K35" s="8" t="n">
        <v>46113</v>
      </c>
      <c r="L35" s="8" t="n">
        <v>46295</v>
      </c>
    </row>
    <row r="36" customFormat="false" ht="15" hidden="false" customHeight="false" outlineLevel="0" collapsed="false">
      <c r="A36" s="6" t="s">
        <v>131</v>
      </c>
      <c r="B36" s="6" t="s">
        <v>265</v>
      </c>
      <c r="C36" s="7" t="s">
        <v>252</v>
      </c>
      <c r="D36" s="7" t="s">
        <v>256</v>
      </c>
      <c r="E36" s="7" t="s">
        <v>250</v>
      </c>
      <c r="F36" s="7" t="s">
        <v>124</v>
      </c>
      <c r="G36" s="6" t="s">
        <v>80</v>
      </c>
      <c r="H36" s="5" t="str">
        <f aca="false">IFERROR(VLOOKUP(G36,'Portfolio Tracker'!$A$5:$B$16,2,FALSE()),"")</f>
        <v>Digital Loan Origination System Upgrade</v>
      </c>
      <c r="I36" s="9" t="n">
        <v>0.4</v>
      </c>
      <c r="J36" s="14" t="n">
        <f aca="false">SUMIF($A$5:$A$65,$A36,$I$5:$I$65)</f>
        <v>1.2</v>
      </c>
      <c r="K36" s="8" t="n">
        <v>46113</v>
      </c>
      <c r="L36" s="8" t="n">
        <v>46295</v>
      </c>
    </row>
    <row r="37" customFormat="false" ht="15" hidden="false" customHeight="false" outlineLevel="0" collapsed="false">
      <c r="A37" s="6" t="s">
        <v>114</v>
      </c>
      <c r="B37" s="6" t="s">
        <v>266</v>
      </c>
      <c r="C37" s="7" t="s">
        <v>252</v>
      </c>
      <c r="D37" s="7" t="s">
        <v>249</v>
      </c>
      <c r="E37" s="7" t="s">
        <v>250</v>
      </c>
      <c r="F37" s="7" t="s">
        <v>124</v>
      </c>
      <c r="G37" s="6" t="s">
        <v>93</v>
      </c>
      <c r="H37" s="5" t="str">
        <f aca="false">IFERROR(VLOOKUP(G37,'Portfolio Tracker'!$A$5:$B$16,2,FALSE()),"")</f>
        <v>Customer 360 Data Platform</v>
      </c>
      <c r="I37" s="9" t="n">
        <v>0.6</v>
      </c>
      <c r="J37" s="14" t="n">
        <f aca="false">SUMIF($A$5:$A$65,$A37,$I$5:$I$65)</f>
        <v>1.1</v>
      </c>
      <c r="K37" s="8" t="n">
        <v>46113</v>
      </c>
      <c r="L37" s="8" t="n">
        <v>46295</v>
      </c>
    </row>
    <row r="38" customFormat="false" ht="15" hidden="false" customHeight="false" outlineLevel="0" collapsed="false">
      <c r="A38" s="6" t="s">
        <v>114</v>
      </c>
      <c r="B38" s="6" t="s">
        <v>266</v>
      </c>
      <c r="C38" s="7" t="s">
        <v>252</v>
      </c>
      <c r="D38" s="7" t="s">
        <v>249</v>
      </c>
      <c r="E38" s="7" t="s">
        <v>250</v>
      </c>
      <c r="F38" s="7" t="s">
        <v>124</v>
      </c>
      <c r="G38" s="6" t="s">
        <v>42</v>
      </c>
      <c r="H38" s="5" t="str">
        <f aca="false">IFERROR(VLOOKUP(G38,'Portfolio Tracker'!$A$5:$B$16,2,FALSE()),"")</f>
        <v>FinAI – Explainable AI for Risk &amp; Underwriting</v>
      </c>
      <c r="I38" s="9" t="n">
        <v>0.3</v>
      </c>
      <c r="J38" s="14" t="n">
        <f aca="false">SUMIF($A$5:$A$65,$A38,$I$5:$I$65)</f>
        <v>1.1</v>
      </c>
      <c r="K38" s="8" t="n">
        <v>46113</v>
      </c>
      <c r="L38" s="8" t="n">
        <v>46295</v>
      </c>
    </row>
    <row r="39" customFormat="false" ht="22.35" hidden="false" customHeight="false" outlineLevel="0" collapsed="false">
      <c r="A39" s="6" t="s">
        <v>114</v>
      </c>
      <c r="B39" s="6" t="s">
        <v>266</v>
      </c>
      <c r="C39" s="7" t="s">
        <v>252</v>
      </c>
      <c r="D39" s="7" t="s">
        <v>249</v>
      </c>
      <c r="E39" s="7" t="s">
        <v>250</v>
      </c>
      <c r="F39" s="7" t="s">
        <v>124</v>
      </c>
      <c r="G39" s="6" t="s">
        <v>24</v>
      </c>
      <c r="H39" s="5" t="str">
        <f aca="false">IFERROR(VLOOKUP(G39,'Portfolio Tracker'!$A$5:$B$16,2,FALSE()),"")</f>
        <v>Core Lending Platform Migration – Phase 2 (Commercial &amp; SME)</v>
      </c>
      <c r="I39" s="9" t="n">
        <v>0.2</v>
      </c>
      <c r="J39" s="14" t="n">
        <f aca="false">SUMIF($A$5:$A$65,$A39,$I$5:$I$65)</f>
        <v>1.1</v>
      </c>
      <c r="K39" s="8" t="n">
        <v>46113</v>
      </c>
      <c r="L39" s="8" t="n">
        <v>46295</v>
      </c>
    </row>
    <row r="40" customFormat="false" ht="22.35" hidden="false" customHeight="false" outlineLevel="0" collapsed="false">
      <c r="A40" s="6" t="s">
        <v>267</v>
      </c>
      <c r="B40" s="6" t="s">
        <v>268</v>
      </c>
      <c r="C40" s="7" t="s">
        <v>254</v>
      </c>
      <c r="D40" s="7" t="s">
        <v>256</v>
      </c>
      <c r="E40" s="7" t="s">
        <v>250</v>
      </c>
      <c r="F40" s="7" t="s">
        <v>124</v>
      </c>
      <c r="G40" s="6" t="s">
        <v>24</v>
      </c>
      <c r="H40" s="5" t="str">
        <f aca="false">IFERROR(VLOOKUP(G40,'Portfolio Tracker'!$A$5:$B$16,2,FALSE()),"")</f>
        <v>Core Lending Platform Migration – Phase 2 (Commercial &amp; SME)</v>
      </c>
      <c r="I40" s="9" t="n">
        <v>0.3</v>
      </c>
      <c r="J40" s="14" t="n">
        <f aca="false">SUMIF($A$5:$A$65,$A40,$I$5:$I$65)</f>
        <v>1</v>
      </c>
      <c r="K40" s="8" t="n">
        <v>46113</v>
      </c>
      <c r="L40" s="8" t="n">
        <v>46295</v>
      </c>
    </row>
    <row r="41" customFormat="false" ht="15" hidden="false" customHeight="false" outlineLevel="0" collapsed="false">
      <c r="A41" s="6" t="s">
        <v>267</v>
      </c>
      <c r="B41" s="6" t="s">
        <v>268</v>
      </c>
      <c r="C41" s="7" t="s">
        <v>254</v>
      </c>
      <c r="D41" s="7" t="s">
        <v>256</v>
      </c>
      <c r="E41" s="7" t="s">
        <v>250</v>
      </c>
      <c r="F41" s="7" t="s">
        <v>124</v>
      </c>
      <c r="G41" s="6" t="s">
        <v>70</v>
      </c>
      <c r="H41" s="5" t="str">
        <f aca="false">IFERROR(VLOOKUP(G41,'Portfolio Tracker'!$A$5:$B$16,2,FALSE()),"")</f>
        <v>AML Uplift – Azentio Amlock Upgrade</v>
      </c>
      <c r="I41" s="9" t="n">
        <v>0.3</v>
      </c>
      <c r="J41" s="14" t="n">
        <f aca="false">SUMIF($A$5:$A$65,$A41,$I$5:$I$65)</f>
        <v>1</v>
      </c>
      <c r="K41" s="8" t="n">
        <v>46113</v>
      </c>
      <c r="L41" s="8" t="n">
        <v>46295</v>
      </c>
    </row>
    <row r="42" customFormat="false" ht="15" hidden="false" customHeight="false" outlineLevel="0" collapsed="false">
      <c r="A42" s="6" t="s">
        <v>267</v>
      </c>
      <c r="B42" s="6" t="s">
        <v>268</v>
      </c>
      <c r="C42" s="7" t="s">
        <v>254</v>
      </c>
      <c r="D42" s="7" t="s">
        <v>256</v>
      </c>
      <c r="E42" s="7" t="s">
        <v>250</v>
      </c>
      <c r="F42" s="7" t="s">
        <v>124</v>
      </c>
      <c r="G42" s="6" t="s">
        <v>80</v>
      </c>
      <c r="H42" s="5" t="str">
        <f aca="false">IFERROR(VLOOKUP(G42,'Portfolio Tracker'!$A$5:$B$16,2,FALSE()),"")</f>
        <v>Digital Loan Origination System Upgrade</v>
      </c>
      <c r="I42" s="9" t="n">
        <v>0.4</v>
      </c>
      <c r="J42" s="14" t="n">
        <f aca="false">SUMIF($A$5:$A$65,$A42,$I$5:$I$65)</f>
        <v>1</v>
      </c>
      <c r="K42" s="8" t="n">
        <v>46113</v>
      </c>
      <c r="L42" s="8" t="n">
        <v>46295</v>
      </c>
    </row>
    <row r="43" customFormat="false" ht="15" hidden="false" customHeight="false" outlineLevel="0" collapsed="false">
      <c r="A43" s="6" t="s">
        <v>269</v>
      </c>
      <c r="B43" s="6" t="s">
        <v>270</v>
      </c>
      <c r="C43" s="7" t="s">
        <v>254</v>
      </c>
      <c r="D43" s="7" t="s">
        <v>249</v>
      </c>
      <c r="E43" s="7" t="s">
        <v>250</v>
      </c>
      <c r="F43" s="7" t="s">
        <v>124</v>
      </c>
      <c r="G43" s="6" t="s">
        <v>34</v>
      </c>
      <c r="H43" s="5" t="str">
        <f aca="false">IFERROR(VLOOKUP(G43,'Portfolio Tracker'!$A$5:$B$16,2,FALSE()),"")</f>
        <v>FinAI – Conversational AI for Sales (BFL 3.0)</v>
      </c>
      <c r="I43" s="9" t="n">
        <v>0.5</v>
      </c>
      <c r="J43" s="14" t="n">
        <f aca="false">SUMIF($A$5:$A$65,$A43,$I$5:$I$65)</f>
        <v>1</v>
      </c>
      <c r="K43" s="8" t="n">
        <v>46113</v>
      </c>
      <c r="L43" s="8" t="n">
        <v>46295</v>
      </c>
    </row>
    <row r="44" customFormat="false" ht="15" hidden="false" customHeight="false" outlineLevel="0" collapsed="false">
      <c r="A44" s="6" t="s">
        <v>269</v>
      </c>
      <c r="B44" s="6" t="s">
        <v>270</v>
      </c>
      <c r="C44" s="7" t="s">
        <v>254</v>
      </c>
      <c r="D44" s="7" t="s">
        <v>249</v>
      </c>
      <c r="E44" s="7" t="s">
        <v>250</v>
      </c>
      <c r="F44" s="7" t="s">
        <v>124</v>
      </c>
      <c r="G44" s="6" t="s">
        <v>50</v>
      </c>
      <c r="H44" s="5" t="str">
        <f aca="false">IFERROR(VLOOKUP(G44,'Portfolio Tracker'!$A$5:$B$16,2,FALSE()),"")</f>
        <v>FinAI – Copilot/Autopilot in Operations &amp; Service</v>
      </c>
      <c r="I44" s="9" t="n">
        <v>0.5</v>
      </c>
      <c r="J44" s="14" t="n">
        <f aca="false">SUMIF($A$5:$A$65,$A44,$I$5:$I$65)</f>
        <v>1</v>
      </c>
      <c r="K44" s="8" t="n">
        <v>46113</v>
      </c>
      <c r="L44" s="8" t="n">
        <v>46295</v>
      </c>
    </row>
    <row r="45" customFormat="false" ht="15" hidden="false" customHeight="false" outlineLevel="0" collapsed="false">
      <c r="A45" s="6" t="s">
        <v>271</v>
      </c>
      <c r="B45" s="6" t="s">
        <v>270</v>
      </c>
      <c r="C45" s="7" t="s">
        <v>254</v>
      </c>
      <c r="D45" s="7" t="s">
        <v>255</v>
      </c>
      <c r="E45" s="7" t="s">
        <v>250</v>
      </c>
      <c r="F45" s="7" t="s">
        <v>124</v>
      </c>
      <c r="G45" s="6" t="s">
        <v>64</v>
      </c>
      <c r="H45" s="5" t="str">
        <f aca="false">IFERROR(VLOOKUP(G45,'Portfolio Tracker'!$A$5:$B$16,2,FALSE()),"")</f>
        <v>Bajaj Finserv Super-App Re-platform</v>
      </c>
      <c r="I45" s="9" t="n">
        <v>0.5</v>
      </c>
      <c r="J45" s="14" t="n">
        <f aca="false">SUMIF($A$5:$A$65,$A45,$I$5:$I$65)</f>
        <v>1</v>
      </c>
      <c r="K45" s="8" t="n">
        <v>46113</v>
      </c>
      <c r="L45" s="8" t="n">
        <v>46295</v>
      </c>
    </row>
    <row r="46" customFormat="false" ht="22.35" hidden="false" customHeight="false" outlineLevel="0" collapsed="false">
      <c r="A46" s="6" t="s">
        <v>271</v>
      </c>
      <c r="B46" s="6" t="s">
        <v>270</v>
      </c>
      <c r="C46" s="7" t="s">
        <v>254</v>
      </c>
      <c r="D46" s="7" t="s">
        <v>255</v>
      </c>
      <c r="E46" s="7" t="s">
        <v>250</v>
      </c>
      <c r="F46" s="7" t="s">
        <v>124</v>
      </c>
      <c r="G46" s="6" t="s">
        <v>88</v>
      </c>
      <c r="H46" s="5" t="str">
        <f aca="false">IFERROR(VLOOKUP(G46,'Portfolio Tracker'!$A$5:$B$16,2,FALSE()),"")</f>
        <v>Adobe Experience Cloud – Campaign Personalisation</v>
      </c>
      <c r="I46" s="9" t="n">
        <v>0.5</v>
      </c>
      <c r="J46" s="14" t="n">
        <f aca="false">SUMIF($A$5:$A$65,$A46,$I$5:$I$65)</f>
        <v>1</v>
      </c>
      <c r="K46" s="8" t="n">
        <v>46113</v>
      </c>
      <c r="L46" s="8" t="n">
        <v>46295</v>
      </c>
    </row>
    <row r="47" customFormat="false" ht="22.35" hidden="false" customHeight="false" outlineLevel="0" collapsed="false">
      <c r="A47" s="6" t="s">
        <v>272</v>
      </c>
      <c r="B47" s="6" t="s">
        <v>273</v>
      </c>
      <c r="C47" s="7" t="s">
        <v>254</v>
      </c>
      <c r="D47" s="7" t="s">
        <v>249</v>
      </c>
      <c r="E47" s="7" t="s">
        <v>250</v>
      </c>
      <c r="F47" s="7" t="s">
        <v>124</v>
      </c>
      <c r="G47" s="6" t="s">
        <v>24</v>
      </c>
      <c r="H47" s="5" t="str">
        <f aca="false">IFERROR(VLOOKUP(G47,'Portfolio Tracker'!$A$5:$B$16,2,FALSE()),"")</f>
        <v>Core Lending Platform Migration – Phase 2 (Commercial &amp; SME)</v>
      </c>
      <c r="I47" s="9" t="n">
        <v>0.2</v>
      </c>
      <c r="J47" s="14" t="n">
        <f aca="false">SUMIF($A$5:$A$65,$A47,$I$5:$I$65)</f>
        <v>0.8</v>
      </c>
      <c r="K47" s="8" t="n">
        <v>46113</v>
      </c>
      <c r="L47" s="8" t="n">
        <v>46295</v>
      </c>
    </row>
    <row r="48" customFormat="false" ht="15" hidden="false" customHeight="false" outlineLevel="0" collapsed="false">
      <c r="A48" s="6" t="s">
        <v>272</v>
      </c>
      <c r="B48" s="6" t="s">
        <v>273</v>
      </c>
      <c r="C48" s="7" t="s">
        <v>254</v>
      </c>
      <c r="D48" s="7" t="s">
        <v>249</v>
      </c>
      <c r="E48" s="7" t="s">
        <v>250</v>
      </c>
      <c r="F48" s="7" t="s">
        <v>124</v>
      </c>
      <c r="G48" s="6" t="s">
        <v>80</v>
      </c>
      <c r="H48" s="5" t="str">
        <f aca="false">IFERROR(VLOOKUP(G48,'Portfolio Tracker'!$A$5:$B$16,2,FALSE()),"")</f>
        <v>Digital Loan Origination System Upgrade</v>
      </c>
      <c r="I48" s="9" t="n">
        <v>0.2</v>
      </c>
      <c r="J48" s="14" t="n">
        <f aca="false">SUMIF($A$5:$A$65,$A48,$I$5:$I$65)</f>
        <v>0.8</v>
      </c>
      <c r="K48" s="8" t="n">
        <v>46113</v>
      </c>
      <c r="L48" s="8" t="n">
        <v>46295</v>
      </c>
    </row>
    <row r="49" customFormat="false" ht="15" hidden="false" customHeight="false" outlineLevel="0" collapsed="false">
      <c r="A49" s="6" t="s">
        <v>272</v>
      </c>
      <c r="B49" s="6" t="s">
        <v>273</v>
      </c>
      <c r="C49" s="7" t="s">
        <v>254</v>
      </c>
      <c r="D49" s="7" t="s">
        <v>249</v>
      </c>
      <c r="E49" s="7" t="s">
        <v>250</v>
      </c>
      <c r="F49" s="7" t="s">
        <v>124</v>
      </c>
      <c r="G49" s="6" t="s">
        <v>64</v>
      </c>
      <c r="H49" s="5" t="str">
        <f aca="false">IFERROR(VLOOKUP(G49,'Portfolio Tracker'!$A$5:$B$16,2,FALSE()),"")</f>
        <v>Bajaj Finserv Super-App Re-platform</v>
      </c>
      <c r="I49" s="9" t="n">
        <v>0.2</v>
      </c>
      <c r="J49" s="14" t="n">
        <f aca="false">SUMIF($A$5:$A$65,$A49,$I$5:$I$65)</f>
        <v>0.8</v>
      </c>
      <c r="K49" s="8" t="n">
        <v>46113</v>
      </c>
      <c r="L49" s="8" t="n">
        <v>46295</v>
      </c>
    </row>
    <row r="50" customFormat="false" ht="15" hidden="false" customHeight="false" outlineLevel="0" collapsed="false">
      <c r="A50" s="6" t="s">
        <v>272</v>
      </c>
      <c r="B50" s="6" t="s">
        <v>273</v>
      </c>
      <c r="C50" s="7" t="s">
        <v>254</v>
      </c>
      <c r="D50" s="7" t="s">
        <v>249</v>
      </c>
      <c r="E50" s="7" t="s">
        <v>250</v>
      </c>
      <c r="F50" s="7" t="s">
        <v>124</v>
      </c>
      <c r="G50" s="6" t="s">
        <v>34</v>
      </c>
      <c r="H50" s="5" t="str">
        <f aca="false">IFERROR(VLOOKUP(G50,'Portfolio Tracker'!$A$5:$B$16,2,FALSE()),"")</f>
        <v>FinAI – Conversational AI for Sales (BFL 3.0)</v>
      </c>
      <c r="I50" s="9" t="n">
        <v>0.2</v>
      </c>
      <c r="J50" s="14" t="n">
        <f aca="false">SUMIF($A$5:$A$65,$A50,$I$5:$I$65)</f>
        <v>0.8</v>
      </c>
      <c r="K50" s="8" t="n">
        <v>46113</v>
      </c>
      <c r="L50" s="8" t="n">
        <v>46295</v>
      </c>
    </row>
    <row r="51" customFormat="false" ht="15" hidden="false" customHeight="false" outlineLevel="0" collapsed="false">
      <c r="A51" s="6" t="s">
        <v>138</v>
      </c>
      <c r="B51" s="6" t="s">
        <v>274</v>
      </c>
      <c r="C51" s="7" t="s">
        <v>252</v>
      </c>
      <c r="D51" s="7" t="s">
        <v>249</v>
      </c>
      <c r="E51" s="7" t="s">
        <v>250</v>
      </c>
      <c r="F51" s="7" t="s">
        <v>124</v>
      </c>
      <c r="G51" s="6" t="s">
        <v>42</v>
      </c>
      <c r="H51" s="5" t="str">
        <f aca="false">IFERROR(VLOOKUP(G51,'Portfolio Tracker'!$A$5:$B$16,2,FALSE()),"")</f>
        <v>FinAI – Explainable AI for Risk &amp; Underwriting</v>
      </c>
      <c r="I51" s="9" t="n">
        <v>0.25</v>
      </c>
      <c r="J51" s="14" t="n">
        <f aca="false">SUMIF($A$5:$A$65,$A51,$I$5:$I$65)</f>
        <v>1</v>
      </c>
      <c r="K51" s="8" t="n">
        <v>46113</v>
      </c>
      <c r="L51" s="8" t="n">
        <v>46295</v>
      </c>
    </row>
    <row r="52" customFormat="false" ht="15" hidden="false" customHeight="false" outlineLevel="0" collapsed="false">
      <c r="A52" s="6" t="s">
        <v>138</v>
      </c>
      <c r="B52" s="6" t="s">
        <v>274</v>
      </c>
      <c r="C52" s="7" t="s">
        <v>252</v>
      </c>
      <c r="D52" s="7" t="s">
        <v>249</v>
      </c>
      <c r="E52" s="7" t="s">
        <v>250</v>
      </c>
      <c r="F52" s="7" t="s">
        <v>124</v>
      </c>
      <c r="G52" s="6" t="s">
        <v>80</v>
      </c>
      <c r="H52" s="5" t="str">
        <f aca="false">IFERROR(VLOOKUP(G52,'Portfolio Tracker'!$A$5:$B$16,2,FALSE()),"")</f>
        <v>Digital Loan Origination System Upgrade</v>
      </c>
      <c r="I52" s="9" t="n">
        <v>0.25</v>
      </c>
      <c r="J52" s="14" t="n">
        <f aca="false">SUMIF($A$5:$A$65,$A52,$I$5:$I$65)</f>
        <v>1</v>
      </c>
      <c r="K52" s="8" t="n">
        <v>46113</v>
      </c>
      <c r="L52" s="8" t="n">
        <v>46295</v>
      </c>
    </row>
    <row r="53" customFormat="false" ht="15" hidden="false" customHeight="false" outlineLevel="0" collapsed="false">
      <c r="A53" s="6" t="s">
        <v>138</v>
      </c>
      <c r="B53" s="6" t="s">
        <v>274</v>
      </c>
      <c r="C53" s="7" t="s">
        <v>252</v>
      </c>
      <c r="D53" s="7" t="s">
        <v>249</v>
      </c>
      <c r="E53" s="7" t="s">
        <v>250</v>
      </c>
      <c r="F53" s="7" t="s">
        <v>124</v>
      </c>
      <c r="G53" s="6" t="s">
        <v>56</v>
      </c>
      <c r="H53" s="5" t="str">
        <f aca="false">IFERROR(VLOOKUP(G53,'Portfolio Tracker'!$A$5:$B$16,2,FALSE()),"")</f>
        <v>Oracle Cloud Infrastructure Migration – Wave 2</v>
      </c>
      <c r="I53" s="9" t="n">
        <v>0.25</v>
      </c>
      <c r="J53" s="14" t="n">
        <f aca="false">SUMIF($A$5:$A$65,$A53,$I$5:$I$65)</f>
        <v>1</v>
      </c>
      <c r="K53" s="8" t="n">
        <v>46113</v>
      </c>
      <c r="L53" s="8" t="n">
        <v>46295</v>
      </c>
    </row>
    <row r="54" customFormat="false" ht="15" hidden="false" customHeight="false" outlineLevel="0" collapsed="false">
      <c r="A54" s="6" t="s">
        <v>138</v>
      </c>
      <c r="B54" s="6" t="s">
        <v>274</v>
      </c>
      <c r="C54" s="7" t="s">
        <v>252</v>
      </c>
      <c r="D54" s="7" t="s">
        <v>249</v>
      </c>
      <c r="E54" s="7" t="s">
        <v>250</v>
      </c>
      <c r="F54" s="7" t="s">
        <v>124</v>
      </c>
      <c r="G54" s="6" t="s">
        <v>70</v>
      </c>
      <c r="H54" s="5" t="str">
        <f aca="false">IFERROR(VLOOKUP(G54,'Portfolio Tracker'!$A$5:$B$16,2,FALSE()),"")</f>
        <v>AML Uplift – Azentio Amlock Upgrade</v>
      </c>
      <c r="I54" s="9" t="n">
        <v>0.25</v>
      </c>
      <c r="J54" s="14" t="n">
        <f aca="false">SUMIF($A$5:$A$65,$A54,$I$5:$I$65)</f>
        <v>1</v>
      </c>
      <c r="K54" s="8" t="n">
        <v>46113</v>
      </c>
      <c r="L54" s="8" t="n">
        <v>46295</v>
      </c>
    </row>
    <row r="55" customFormat="false" ht="15" hidden="false" customHeight="false" outlineLevel="0" collapsed="false">
      <c r="A55" s="6" t="s">
        <v>155</v>
      </c>
      <c r="B55" s="6" t="s">
        <v>275</v>
      </c>
      <c r="C55" s="7" t="s">
        <v>254</v>
      </c>
      <c r="D55" s="7" t="s">
        <v>249</v>
      </c>
      <c r="E55" s="7" t="s">
        <v>250</v>
      </c>
      <c r="F55" s="7" t="s">
        <v>124</v>
      </c>
      <c r="G55" s="6" t="s">
        <v>56</v>
      </c>
      <c r="H55" s="5" t="str">
        <f aca="false">IFERROR(VLOOKUP(G55,'Portfolio Tracker'!$A$5:$B$16,2,FALSE()),"")</f>
        <v>Oracle Cloud Infrastructure Migration – Wave 2</v>
      </c>
      <c r="I55" s="9" t="n">
        <v>0.3</v>
      </c>
      <c r="J55" s="14" t="n">
        <f aca="false">SUMIF($A$5:$A$65,$A55,$I$5:$I$65)</f>
        <v>0.8</v>
      </c>
      <c r="K55" s="8" t="n">
        <v>46113</v>
      </c>
      <c r="L55" s="8" t="n">
        <v>46295</v>
      </c>
    </row>
    <row r="56" customFormat="false" ht="15" hidden="false" customHeight="false" outlineLevel="0" collapsed="false">
      <c r="A56" s="6" t="s">
        <v>155</v>
      </c>
      <c r="B56" s="6" t="s">
        <v>275</v>
      </c>
      <c r="C56" s="7" t="s">
        <v>254</v>
      </c>
      <c r="D56" s="7" t="s">
        <v>249</v>
      </c>
      <c r="E56" s="7" t="s">
        <v>250</v>
      </c>
      <c r="F56" s="7" t="s">
        <v>124</v>
      </c>
      <c r="G56" s="6" t="s">
        <v>93</v>
      </c>
      <c r="H56" s="5" t="str">
        <f aca="false">IFERROR(VLOOKUP(G56,'Portfolio Tracker'!$A$5:$B$16,2,FALSE()),"")</f>
        <v>Customer 360 Data Platform</v>
      </c>
      <c r="I56" s="9" t="n">
        <v>0.3</v>
      </c>
      <c r="J56" s="14" t="n">
        <f aca="false">SUMIF($A$5:$A$65,$A56,$I$5:$I$65)</f>
        <v>0.8</v>
      </c>
      <c r="K56" s="8" t="n">
        <v>46113</v>
      </c>
      <c r="L56" s="8" t="n">
        <v>46295</v>
      </c>
    </row>
    <row r="57" customFormat="false" ht="15" hidden="false" customHeight="false" outlineLevel="0" collapsed="false">
      <c r="A57" s="6" t="s">
        <v>155</v>
      </c>
      <c r="B57" s="6" t="s">
        <v>275</v>
      </c>
      <c r="C57" s="7" t="s">
        <v>254</v>
      </c>
      <c r="D57" s="7" t="s">
        <v>249</v>
      </c>
      <c r="E57" s="7" t="s">
        <v>250</v>
      </c>
      <c r="F57" s="7" t="s">
        <v>124</v>
      </c>
      <c r="G57" s="6" t="s">
        <v>80</v>
      </c>
      <c r="H57" s="5" t="str">
        <f aca="false">IFERROR(VLOOKUP(G57,'Portfolio Tracker'!$A$5:$B$16,2,FALSE()),"")</f>
        <v>Digital Loan Origination System Upgrade</v>
      </c>
      <c r="I57" s="9" t="n">
        <v>0.2</v>
      </c>
      <c r="J57" s="14" t="n">
        <f aca="false">SUMIF($A$5:$A$65,$A57,$I$5:$I$65)</f>
        <v>0.8</v>
      </c>
      <c r="K57" s="8" t="n">
        <v>46113</v>
      </c>
      <c r="L57" s="8" t="n">
        <v>46295</v>
      </c>
    </row>
    <row r="58" customFormat="false" ht="22.35" hidden="false" customHeight="false" outlineLevel="0" collapsed="false">
      <c r="A58" s="6" t="s">
        <v>276</v>
      </c>
      <c r="B58" s="6" t="s">
        <v>277</v>
      </c>
      <c r="C58" s="7" t="s">
        <v>252</v>
      </c>
      <c r="D58" s="7" t="s">
        <v>278</v>
      </c>
      <c r="E58" s="7" t="s">
        <v>122</v>
      </c>
      <c r="F58" s="7" t="s">
        <v>279</v>
      </c>
      <c r="G58" s="6" t="s">
        <v>24</v>
      </c>
      <c r="H58" s="5" t="str">
        <f aca="false">IFERROR(VLOOKUP(G58,'Portfolio Tracker'!$A$5:$B$16,2,FALSE()),"")</f>
        <v>Core Lending Platform Migration – Phase 2 (Commercial &amp; SME)</v>
      </c>
      <c r="I58" s="9" t="n">
        <v>0.6</v>
      </c>
      <c r="J58" s="14" t="n">
        <f aca="false">SUMIF($A$5:$A$65,$A58,$I$5:$I$65)</f>
        <v>1</v>
      </c>
      <c r="K58" s="8" t="n">
        <v>46113</v>
      </c>
      <c r="L58" s="8" t="n">
        <v>46295</v>
      </c>
    </row>
    <row r="59" customFormat="false" ht="15" hidden="false" customHeight="false" outlineLevel="0" collapsed="false">
      <c r="A59" s="6" t="s">
        <v>276</v>
      </c>
      <c r="B59" s="6" t="s">
        <v>277</v>
      </c>
      <c r="C59" s="7" t="s">
        <v>252</v>
      </c>
      <c r="D59" s="7" t="s">
        <v>278</v>
      </c>
      <c r="E59" s="7" t="s">
        <v>122</v>
      </c>
      <c r="F59" s="7" t="s">
        <v>279</v>
      </c>
      <c r="G59" s="6" t="s">
        <v>80</v>
      </c>
      <c r="H59" s="5" t="str">
        <f aca="false">IFERROR(VLOOKUP(G59,'Portfolio Tracker'!$A$5:$B$16,2,FALSE()),"")</f>
        <v>Digital Loan Origination System Upgrade</v>
      </c>
      <c r="I59" s="9" t="n">
        <v>0.4</v>
      </c>
      <c r="J59" s="14" t="n">
        <f aca="false">SUMIF($A$5:$A$65,$A59,$I$5:$I$65)</f>
        <v>1</v>
      </c>
      <c r="K59" s="8" t="n">
        <v>46113</v>
      </c>
      <c r="L59" s="8" t="n">
        <v>46295</v>
      </c>
    </row>
    <row r="60" customFormat="false" ht="15" hidden="false" customHeight="false" outlineLevel="0" collapsed="false">
      <c r="A60" s="6" t="s">
        <v>280</v>
      </c>
      <c r="B60" s="6" t="s">
        <v>268</v>
      </c>
      <c r="C60" s="7" t="s">
        <v>254</v>
      </c>
      <c r="D60" s="7" t="s">
        <v>249</v>
      </c>
      <c r="E60" s="7" t="s">
        <v>122</v>
      </c>
      <c r="F60" s="7" t="s">
        <v>68</v>
      </c>
      <c r="G60" s="6" t="s">
        <v>64</v>
      </c>
      <c r="H60" s="5" t="str">
        <f aca="false">IFERROR(VLOOKUP(G60,'Portfolio Tracker'!$A$5:$B$16,2,FALSE()),"")</f>
        <v>Bajaj Finserv Super-App Re-platform</v>
      </c>
      <c r="I60" s="9" t="n">
        <v>0.5</v>
      </c>
      <c r="J60" s="14" t="n">
        <f aca="false">SUMIF($A$5:$A$65,$A60,$I$5:$I$65)</f>
        <v>1</v>
      </c>
      <c r="K60" s="8" t="n">
        <v>46113</v>
      </c>
      <c r="L60" s="8" t="n">
        <v>46295</v>
      </c>
    </row>
    <row r="61" customFormat="false" ht="15" hidden="false" customHeight="false" outlineLevel="0" collapsed="false">
      <c r="A61" s="6" t="s">
        <v>280</v>
      </c>
      <c r="B61" s="6" t="s">
        <v>268</v>
      </c>
      <c r="C61" s="7" t="s">
        <v>254</v>
      </c>
      <c r="D61" s="7" t="s">
        <v>249</v>
      </c>
      <c r="E61" s="7" t="s">
        <v>122</v>
      </c>
      <c r="F61" s="7" t="s">
        <v>68</v>
      </c>
      <c r="G61" s="6" t="s">
        <v>34</v>
      </c>
      <c r="H61" s="5" t="str">
        <f aca="false">IFERROR(VLOOKUP(G61,'Portfolio Tracker'!$A$5:$B$16,2,FALSE()),"")</f>
        <v>FinAI – Conversational AI for Sales (BFL 3.0)</v>
      </c>
      <c r="I61" s="9" t="n">
        <v>0.3</v>
      </c>
      <c r="J61" s="14" t="n">
        <f aca="false">SUMIF($A$5:$A$65,$A61,$I$5:$I$65)</f>
        <v>1</v>
      </c>
      <c r="K61" s="8" t="n">
        <v>46113</v>
      </c>
      <c r="L61" s="8" t="n">
        <v>46295</v>
      </c>
    </row>
    <row r="62" customFormat="false" ht="15" hidden="false" customHeight="false" outlineLevel="0" collapsed="false">
      <c r="A62" s="6" t="s">
        <v>280</v>
      </c>
      <c r="B62" s="6" t="s">
        <v>268</v>
      </c>
      <c r="C62" s="7" t="s">
        <v>254</v>
      </c>
      <c r="D62" s="7" t="s">
        <v>249</v>
      </c>
      <c r="E62" s="7" t="s">
        <v>122</v>
      </c>
      <c r="F62" s="7" t="s">
        <v>68</v>
      </c>
      <c r="G62" s="6" t="s">
        <v>93</v>
      </c>
      <c r="H62" s="5" t="str">
        <f aca="false">IFERROR(VLOOKUP(G62,'Portfolio Tracker'!$A$5:$B$16,2,FALSE()),"")</f>
        <v>Customer 360 Data Platform</v>
      </c>
      <c r="I62" s="9" t="n">
        <v>0.2</v>
      </c>
      <c r="J62" s="14" t="n">
        <f aca="false">SUMIF($A$5:$A$65,$A62,$I$5:$I$65)</f>
        <v>1</v>
      </c>
      <c r="K62" s="8" t="n">
        <v>46113</v>
      </c>
      <c r="L62" s="8" t="n">
        <v>46295</v>
      </c>
    </row>
    <row r="63" customFormat="false" ht="15" hidden="false" customHeight="false" outlineLevel="0" collapsed="false">
      <c r="A63" s="6" t="s">
        <v>147</v>
      </c>
      <c r="B63" s="6" t="s">
        <v>281</v>
      </c>
      <c r="C63" s="7" t="s">
        <v>252</v>
      </c>
      <c r="D63" s="7" t="s">
        <v>256</v>
      </c>
      <c r="E63" s="7" t="s">
        <v>122</v>
      </c>
      <c r="F63" s="7" t="s">
        <v>61</v>
      </c>
      <c r="G63" s="6" t="s">
        <v>56</v>
      </c>
      <c r="H63" s="5" t="str">
        <f aca="false">IFERROR(VLOOKUP(G63,'Portfolio Tracker'!$A$5:$B$16,2,FALSE()),"")</f>
        <v>Oracle Cloud Infrastructure Migration – Wave 2</v>
      </c>
      <c r="I63" s="9" t="n">
        <v>1</v>
      </c>
      <c r="J63" s="14" t="n">
        <f aca="false">SUMIF($A$5:$A$65,$A63,$I$5:$I$65)</f>
        <v>1</v>
      </c>
      <c r="K63" s="8" t="n">
        <v>46113</v>
      </c>
      <c r="L63" s="8" t="n">
        <v>46295</v>
      </c>
    </row>
    <row r="64" customFormat="false" ht="15" hidden="false" customHeight="false" outlineLevel="0" collapsed="false">
      <c r="A64" s="6" t="s">
        <v>282</v>
      </c>
      <c r="B64" s="6" t="s">
        <v>283</v>
      </c>
      <c r="C64" s="7" t="s">
        <v>260</v>
      </c>
      <c r="D64" s="7" t="s">
        <v>249</v>
      </c>
      <c r="E64" s="7" t="s">
        <v>122</v>
      </c>
      <c r="F64" s="7" t="s">
        <v>68</v>
      </c>
      <c r="G64" s="6" t="s">
        <v>84</v>
      </c>
      <c r="H64" s="5" t="str">
        <f aca="false">IFERROR(VLOOKUP(G64,'Portfolio Tracker'!$A$5:$B$16,2,FALSE()),"")</f>
        <v>Observability Rollout – New Relic APM</v>
      </c>
      <c r="I64" s="9" t="n">
        <v>0.4</v>
      </c>
      <c r="J64" s="14" t="n">
        <f aca="false">SUMIF($A$5:$A$65,$A64,$I$5:$I$65)</f>
        <v>1</v>
      </c>
      <c r="K64" s="8" t="n">
        <v>46113</v>
      </c>
      <c r="L64" s="8" t="n">
        <v>46295</v>
      </c>
    </row>
    <row r="65" customFormat="false" ht="15" hidden="false" customHeight="false" outlineLevel="0" collapsed="false">
      <c r="A65" s="6" t="s">
        <v>282</v>
      </c>
      <c r="B65" s="6" t="s">
        <v>283</v>
      </c>
      <c r="C65" s="7" t="s">
        <v>260</v>
      </c>
      <c r="D65" s="7" t="s">
        <v>249</v>
      </c>
      <c r="E65" s="7" t="s">
        <v>122</v>
      </c>
      <c r="F65" s="7" t="s">
        <v>68</v>
      </c>
      <c r="G65" s="6" t="s">
        <v>56</v>
      </c>
      <c r="H65" s="5" t="str">
        <f aca="false">IFERROR(VLOOKUP(G65,'Portfolio Tracker'!$A$5:$B$16,2,FALSE()),"")</f>
        <v>Oracle Cloud Infrastructure Migration – Wave 2</v>
      </c>
      <c r="I65" s="9" t="n">
        <v>0.6</v>
      </c>
      <c r="J65" s="14" t="n">
        <f aca="false">SUMIF($A$5:$A$65,$A65,$I$5:$I$65)</f>
        <v>1</v>
      </c>
      <c r="K65" s="8" t="n">
        <v>46113</v>
      </c>
      <c r="L65" s="8" t="n">
        <v>46295</v>
      </c>
    </row>
  </sheetData>
  <autoFilter ref="A4:L65"/>
  <mergeCells count="2">
    <mergeCell ref="A1:L1"/>
    <mergeCell ref="A2:L2"/>
  </mergeCells>
  <conditionalFormatting sqref="J5:J65">
    <cfRule type="cellIs" priority="2" operator="greaterThan" aboveAverage="0" equalAverage="0" bottom="0" percent="0" rank="0" text="" dxfId="10">
      <formula>1</formula>
    </cfRule>
    <cfRule type="cellIs" priority="3" operator="equal" aboveAverage="0" equalAverage="0" bottom="0" percent="0" rank="0" text="" dxfId="1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8"/>
    <col collapsed="false" customWidth="true" hidden="false" outlineLevel="0" max="3" min="3" style="0" width="21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8" min="6" style="0" width="15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1" t="s">
        <v>284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7.5" hidden="false" customHeight="true" outlineLevel="0" collapsed="false">
      <c r="A4" s="3" t="s">
        <v>2</v>
      </c>
      <c r="B4" s="3" t="s">
        <v>3</v>
      </c>
      <c r="C4" s="3" t="s">
        <v>285</v>
      </c>
      <c r="D4" s="3" t="s">
        <v>286</v>
      </c>
      <c r="E4" s="3" t="s">
        <v>287</v>
      </c>
      <c r="F4" s="3" t="s">
        <v>288</v>
      </c>
      <c r="G4" s="3" t="s">
        <v>289</v>
      </c>
      <c r="H4" s="3" t="s">
        <v>290</v>
      </c>
      <c r="I4" s="3" t="s">
        <v>291</v>
      </c>
      <c r="J4" s="3" t="s">
        <v>292</v>
      </c>
      <c r="K4" s="3" t="s">
        <v>293</v>
      </c>
      <c r="L4" s="3" t="s">
        <v>294</v>
      </c>
    </row>
    <row r="5" customFormat="false" ht="22.35" hidden="false" customHeight="false" outlineLevel="0" collapsed="false">
      <c r="A5" s="4" t="s">
        <v>24</v>
      </c>
      <c r="B5" s="5" t="str">
        <f aca="false">IFERROR(VLOOKUP(A5,'Portfolio Tracker'!$A$5:$B$16,2,FALSE()),"")</f>
        <v>Core Lending Platform Migration – Phase 2 (Commercial &amp; SME)</v>
      </c>
      <c r="C5" s="6" t="s">
        <v>29</v>
      </c>
      <c r="D5" s="7" t="s">
        <v>295</v>
      </c>
      <c r="E5" s="6" t="s">
        <v>296</v>
      </c>
      <c r="F5" s="11" t="n">
        <v>18</v>
      </c>
      <c r="G5" s="11" t="n">
        <v>18</v>
      </c>
      <c r="H5" s="11" t="n">
        <v>15.5</v>
      </c>
      <c r="I5" s="11" t="n">
        <v>18.5</v>
      </c>
      <c r="J5" s="15" t="n">
        <f aca="false">F5-I5</f>
        <v>-0.5</v>
      </c>
      <c r="K5" s="16" t="n">
        <f aca="false">IF(F5=0,0,J5/F5)</f>
        <v>-0.0277777777777778</v>
      </c>
      <c r="L5" s="7" t="s">
        <v>297</v>
      </c>
    </row>
    <row r="6" customFormat="false" ht="22.35" hidden="false" customHeight="false" outlineLevel="0" collapsed="false">
      <c r="A6" s="4" t="s">
        <v>24</v>
      </c>
      <c r="B6" s="5" t="str">
        <f aca="false">IFERROR(VLOOKUP(A6,'Portfolio Tracker'!$A$5:$B$16,2,FALSE()),"")</f>
        <v>Core Lending Platform Migration – Phase 2 (Commercial &amp; SME)</v>
      </c>
      <c r="C6" s="6" t="s">
        <v>29</v>
      </c>
      <c r="D6" s="7" t="s">
        <v>298</v>
      </c>
      <c r="E6" s="6" t="s">
        <v>299</v>
      </c>
      <c r="F6" s="11" t="n">
        <v>6</v>
      </c>
      <c r="G6" s="11" t="n">
        <v>6</v>
      </c>
      <c r="H6" s="11" t="n">
        <v>4.2</v>
      </c>
      <c r="I6" s="11" t="n">
        <v>6</v>
      </c>
      <c r="J6" s="15" t="n">
        <f aca="false">F6-I6</f>
        <v>0</v>
      </c>
      <c r="K6" s="16" t="n">
        <f aca="false">IF(F6=0,0,J6/F6)</f>
        <v>0</v>
      </c>
      <c r="L6" s="7" t="s">
        <v>300</v>
      </c>
    </row>
    <row r="7" customFormat="false" ht="22.35" hidden="false" customHeight="false" outlineLevel="0" collapsed="false">
      <c r="A7" s="4" t="s">
        <v>24</v>
      </c>
      <c r="B7" s="5" t="str">
        <f aca="false">IFERROR(VLOOKUP(A7,'Portfolio Tracker'!$A$5:$B$16,2,FALSE()),"")</f>
        <v>Core Lending Platform Migration – Phase 2 (Commercial &amp; SME)</v>
      </c>
      <c r="C7" s="6" t="s">
        <v>47</v>
      </c>
      <c r="D7" s="7" t="s">
        <v>298</v>
      </c>
      <c r="E7" s="6" t="s">
        <v>301</v>
      </c>
      <c r="F7" s="11" t="n">
        <v>4.5</v>
      </c>
      <c r="G7" s="11" t="n">
        <v>4.5</v>
      </c>
      <c r="H7" s="11" t="n">
        <v>3.8</v>
      </c>
      <c r="I7" s="11" t="n">
        <v>4.6</v>
      </c>
      <c r="J7" s="15" t="n">
        <f aca="false">F7-I7</f>
        <v>-0.0999999999999996</v>
      </c>
      <c r="K7" s="16" t="n">
        <f aca="false">IF(F7=0,0,J7/F7)</f>
        <v>-0.0222222222222221</v>
      </c>
      <c r="L7" s="7" t="s">
        <v>124</v>
      </c>
    </row>
    <row r="8" customFormat="false" ht="15" hidden="false" customHeight="false" outlineLevel="0" collapsed="false">
      <c r="A8" s="4" t="s">
        <v>34</v>
      </c>
      <c r="B8" s="5" t="str">
        <f aca="false">IFERROR(VLOOKUP(A8,'Portfolio Tracker'!$A$5:$B$16,2,FALSE()),"")</f>
        <v>FinAI – Conversational AI for Sales (BFL 3.0)</v>
      </c>
      <c r="C8" s="6" t="s">
        <v>47</v>
      </c>
      <c r="D8" s="7" t="s">
        <v>298</v>
      </c>
      <c r="E8" s="6" t="s">
        <v>301</v>
      </c>
      <c r="F8" s="11" t="n">
        <v>5</v>
      </c>
      <c r="G8" s="11" t="n">
        <v>5</v>
      </c>
      <c r="H8" s="11" t="n">
        <v>2.1</v>
      </c>
      <c r="I8" s="11" t="n">
        <v>5</v>
      </c>
      <c r="J8" s="15" t="n">
        <f aca="false">F8-I8</f>
        <v>0</v>
      </c>
      <c r="K8" s="16" t="n">
        <f aca="false">IF(F8=0,0,J8/F8)</f>
        <v>0</v>
      </c>
      <c r="L8" s="7" t="s">
        <v>124</v>
      </c>
    </row>
    <row r="9" customFormat="false" ht="15" hidden="false" customHeight="false" outlineLevel="0" collapsed="false">
      <c r="A9" s="4" t="s">
        <v>34</v>
      </c>
      <c r="B9" s="5" t="str">
        <f aca="false">IFERROR(VLOOKUP(A9,'Portfolio Tracker'!$A$5:$B$16,2,FALSE()),"")</f>
        <v>FinAI – Conversational AI for Sales (BFL 3.0)</v>
      </c>
      <c r="C9" s="6" t="s">
        <v>68</v>
      </c>
      <c r="D9" s="7" t="s">
        <v>295</v>
      </c>
      <c r="E9" s="6" t="s">
        <v>296</v>
      </c>
      <c r="F9" s="11" t="n">
        <v>4</v>
      </c>
      <c r="G9" s="11" t="n">
        <v>3</v>
      </c>
      <c r="H9" s="11" t="n">
        <v>1.5</v>
      </c>
      <c r="I9" s="11" t="n">
        <v>4</v>
      </c>
      <c r="J9" s="15" t="n">
        <f aca="false">F9-I9</f>
        <v>0</v>
      </c>
      <c r="K9" s="16" t="n">
        <f aca="false">IF(F9=0,0,J9/F9)</f>
        <v>0</v>
      </c>
      <c r="L9" s="7" t="s">
        <v>302</v>
      </c>
    </row>
    <row r="10" customFormat="false" ht="15" hidden="false" customHeight="false" outlineLevel="0" collapsed="false">
      <c r="A10" s="4" t="s">
        <v>34</v>
      </c>
      <c r="B10" s="5" t="str">
        <f aca="false">IFERROR(VLOOKUP(A10,'Portfolio Tracker'!$A$5:$B$16,2,FALSE()),"")</f>
        <v>FinAI – Conversational AI for Sales (BFL 3.0)</v>
      </c>
      <c r="C10" s="6" t="s">
        <v>303</v>
      </c>
      <c r="D10" s="7" t="s">
        <v>298</v>
      </c>
      <c r="E10" s="6" t="s">
        <v>304</v>
      </c>
      <c r="F10" s="11" t="n">
        <v>2</v>
      </c>
      <c r="G10" s="11" t="n">
        <v>0</v>
      </c>
      <c r="H10" s="11" t="n">
        <v>0.8</v>
      </c>
      <c r="I10" s="11" t="n">
        <v>2</v>
      </c>
      <c r="J10" s="15" t="n">
        <f aca="false">F10-I10</f>
        <v>0</v>
      </c>
      <c r="K10" s="16" t="n">
        <f aca="false">IF(F10=0,0,J10/F10)</f>
        <v>0</v>
      </c>
      <c r="L10" s="7" t="s">
        <v>124</v>
      </c>
    </row>
    <row r="11" customFormat="false" ht="15" hidden="false" customHeight="false" outlineLevel="0" collapsed="false">
      <c r="A11" s="4" t="s">
        <v>42</v>
      </c>
      <c r="B11" s="5" t="str">
        <f aca="false">IFERROR(VLOOKUP(A11,'Portfolio Tracker'!$A$5:$B$16,2,FALSE()),"")</f>
        <v>FinAI – Explainable AI for Risk &amp; Underwriting</v>
      </c>
      <c r="C11" s="6" t="s">
        <v>47</v>
      </c>
      <c r="D11" s="7" t="s">
        <v>298</v>
      </c>
      <c r="E11" s="6" t="s">
        <v>301</v>
      </c>
      <c r="F11" s="11" t="n">
        <v>6</v>
      </c>
      <c r="G11" s="11" t="n">
        <v>6</v>
      </c>
      <c r="H11" s="11" t="n">
        <v>3.6</v>
      </c>
      <c r="I11" s="11" t="n">
        <v>5.9</v>
      </c>
      <c r="J11" s="15" t="n">
        <f aca="false">F11-I11</f>
        <v>0.0999999999999996</v>
      </c>
      <c r="K11" s="16" t="n">
        <f aca="false">IF(F11=0,0,J11/F11)</f>
        <v>0.0166666666666666</v>
      </c>
      <c r="L11" s="7" t="s">
        <v>124</v>
      </c>
    </row>
    <row r="12" customFormat="false" ht="15" hidden="false" customHeight="false" outlineLevel="0" collapsed="false">
      <c r="A12" s="4" t="s">
        <v>42</v>
      </c>
      <c r="B12" s="5" t="str">
        <f aca="false">IFERROR(VLOOKUP(A12,'Portfolio Tracker'!$A$5:$B$16,2,FALSE()),"")</f>
        <v>FinAI – Explainable AI for Risk &amp; Underwriting</v>
      </c>
      <c r="C12" s="6" t="s">
        <v>303</v>
      </c>
      <c r="D12" s="7" t="s">
        <v>298</v>
      </c>
      <c r="E12" s="6" t="s">
        <v>304</v>
      </c>
      <c r="F12" s="11" t="n">
        <v>1.5</v>
      </c>
      <c r="G12" s="11" t="n">
        <v>0</v>
      </c>
      <c r="H12" s="11" t="n">
        <v>0.9</v>
      </c>
      <c r="I12" s="11" t="n">
        <v>1.5</v>
      </c>
      <c r="J12" s="15" t="n">
        <f aca="false">F12-I12</f>
        <v>0</v>
      </c>
      <c r="K12" s="16" t="n">
        <f aca="false">IF(F12=0,0,J12/F12)</f>
        <v>0</v>
      </c>
      <c r="L12" s="7" t="s">
        <v>124</v>
      </c>
    </row>
    <row r="13" customFormat="false" ht="15" hidden="false" customHeight="false" outlineLevel="0" collapsed="false">
      <c r="A13" s="4" t="s">
        <v>50</v>
      </c>
      <c r="B13" s="5" t="str">
        <f aca="false">IFERROR(VLOOKUP(A13,'Portfolio Tracker'!$A$5:$B$16,2,FALSE()),"")</f>
        <v>FinAI – Copilot/Autopilot in Operations &amp; Service</v>
      </c>
      <c r="C13" s="6" t="s">
        <v>47</v>
      </c>
      <c r="D13" s="7" t="s">
        <v>298</v>
      </c>
      <c r="E13" s="6" t="s">
        <v>301</v>
      </c>
      <c r="F13" s="11" t="n">
        <v>5.5</v>
      </c>
      <c r="G13" s="11" t="n">
        <v>5.5</v>
      </c>
      <c r="H13" s="11" t="n">
        <v>1.8</v>
      </c>
      <c r="I13" s="11" t="n">
        <v>5.5</v>
      </c>
      <c r="J13" s="15" t="n">
        <f aca="false">F13-I13</f>
        <v>0</v>
      </c>
      <c r="K13" s="16" t="n">
        <f aca="false">IF(F13=0,0,J13/F13)</f>
        <v>0</v>
      </c>
      <c r="L13" s="7" t="s">
        <v>124</v>
      </c>
    </row>
    <row r="14" customFormat="false" ht="15" hidden="false" customHeight="false" outlineLevel="0" collapsed="false">
      <c r="A14" s="4" t="s">
        <v>50</v>
      </c>
      <c r="B14" s="5" t="str">
        <f aca="false">IFERROR(VLOOKUP(A14,'Portfolio Tracker'!$A$5:$B$16,2,FALSE()),"")</f>
        <v>FinAI – Copilot/Autopilot in Operations &amp; Service</v>
      </c>
      <c r="C14" s="6" t="s">
        <v>68</v>
      </c>
      <c r="D14" s="7" t="s">
        <v>295</v>
      </c>
      <c r="E14" s="6" t="s">
        <v>296</v>
      </c>
      <c r="F14" s="11" t="n">
        <v>3</v>
      </c>
      <c r="G14" s="11" t="n">
        <v>2</v>
      </c>
      <c r="H14" s="11" t="n">
        <v>0.6</v>
      </c>
      <c r="I14" s="11" t="n">
        <v>3.2</v>
      </c>
      <c r="J14" s="15" t="n">
        <f aca="false">F14-I14</f>
        <v>-0.2</v>
      </c>
      <c r="K14" s="16" t="n">
        <f aca="false">IF(F14=0,0,J14/F14)</f>
        <v>-0.0666666666666667</v>
      </c>
      <c r="L14" s="7" t="s">
        <v>305</v>
      </c>
    </row>
    <row r="15" customFormat="false" ht="15" hidden="false" customHeight="false" outlineLevel="0" collapsed="false">
      <c r="A15" s="4" t="s">
        <v>56</v>
      </c>
      <c r="B15" s="5" t="str">
        <f aca="false">IFERROR(VLOOKUP(A15,'Portfolio Tracker'!$A$5:$B$16,2,FALSE()),"")</f>
        <v>Oracle Cloud Infrastructure Migration – Wave 2</v>
      </c>
      <c r="C15" s="6" t="s">
        <v>61</v>
      </c>
      <c r="D15" s="7" t="s">
        <v>295</v>
      </c>
      <c r="E15" s="6" t="s">
        <v>296</v>
      </c>
      <c r="F15" s="11" t="n">
        <v>12</v>
      </c>
      <c r="G15" s="11" t="n">
        <v>12</v>
      </c>
      <c r="H15" s="11" t="n">
        <v>8.5</v>
      </c>
      <c r="I15" s="11" t="n">
        <v>15</v>
      </c>
      <c r="J15" s="15" t="n">
        <f aca="false">F15-I15</f>
        <v>-3</v>
      </c>
      <c r="K15" s="16" t="n">
        <f aca="false">IF(F15=0,0,J15/F15)</f>
        <v>-0.25</v>
      </c>
      <c r="L15" s="7" t="s">
        <v>306</v>
      </c>
    </row>
    <row r="16" customFormat="false" ht="15" hidden="false" customHeight="false" outlineLevel="0" collapsed="false">
      <c r="A16" s="4" t="s">
        <v>56</v>
      </c>
      <c r="B16" s="5" t="str">
        <f aca="false">IFERROR(VLOOKUP(A16,'Portfolio Tracker'!$A$5:$B$16,2,FALSE()),"")</f>
        <v>Oracle Cloud Infrastructure Migration – Wave 2</v>
      </c>
      <c r="C16" s="6" t="s">
        <v>61</v>
      </c>
      <c r="D16" s="7" t="s">
        <v>298</v>
      </c>
      <c r="E16" s="6" t="s">
        <v>304</v>
      </c>
      <c r="F16" s="11" t="n">
        <v>8</v>
      </c>
      <c r="G16" s="11" t="n">
        <v>0</v>
      </c>
      <c r="H16" s="11" t="n">
        <v>6.8</v>
      </c>
      <c r="I16" s="11" t="n">
        <v>12</v>
      </c>
      <c r="J16" s="15" t="n">
        <f aca="false">F16-I16</f>
        <v>-4</v>
      </c>
      <c r="K16" s="16" t="n">
        <f aca="false">IF(F16=0,0,J16/F16)</f>
        <v>-0.5</v>
      </c>
      <c r="L16" s="7" t="s">
        <v>124</v>
      </c>
    </row>
    <row r="17" customFormat="false" ht="15" hidden="false" customHeight="false" outlineLevel="0" collapsed="false">
      <c r="A17" s="4" t="s">
        <v>56</v>
      </c>
      <c r="B17" s="5" t="str">
        <f aca="false">IFERROR(VLOOKUP(A17,'Portfolio Tracker'!$A$5:$B$16,2,FALSE()),"")</f>
        <v>Oracle Cloud Infrastructure Migration – Wave 2</v>
      </c>
      <c r="C17" s="6" t="s">
        <v>47</v>
      </c>
      <c r="D17" s="7" t="s">
        <v>298</v>
      </c>
      <c r="E17" s="6" t="s">
        <v>301</v>
      </c>
      <c r="F17" s="11" t="n">
        <v>3.5</v>
      </c>
      <c r="G17" s="11" t="n">
        <v>3.5</v>
      </c>
      <c r="H17" s="11" t="n">
        <v>2.4</v>
      </c>
      <c r="I17" s="11" t="n">
        <v>3.8</v>
      </c>
      <c r="J17" s="15" t="n">
        <f aca="false">F17-I17</f>
        <v>-0.3</v>
      </c>
      <c r="K17" s="16" t="n">
        <f aca="false">IF(F17=0,0,J17/F17)</f>
        <v>-0.0857142857142857</v>
      </c>
      <c r="L17" s="7" t="s">
        <v>124</v>
      </c>
    </row>
    <row r="18" customFormat="false" ht="15" hidden="false" customHeight="false" outlineLevel="0" collapsed="false">
      <c r="A18" s="4" t="s">
        <v>64</v>
      </c>
      <c r="B18" s="5" t="str">
        <f aca="false">IFERROR(VLOOKUP(A18,'Portfolio Tracker'!$A$5:$B$16,2,FALSE()),"")</f>
        <v>Bajaj Finserv Super-App Re-platform</v>
      </c>
      <c r="C18" s="6" t="s">
        <v>68</v>
      </c>
      <c r="D18" s="7" t="s">
        <v>295</v>
      </c>
      <c r="E18" s="6" t="s">
        <v>296</v>
      </c>
      <c r="F18" s="11" t="n">
        <v>9</v>
      </c>
      <c r="G18" s="11" t="n">
        <v>9</v>
      </c>
      <c r="H18" s="11" t="n">
        <v>4.2</v>
      </c>
      <c r="I18" s="11" t="n">
        <v>9.6</v>
      </c>
      <c r="J18" s="15" t="n">
        <f aca="false">F18-I18</f>
        <v>-0.6</v>
      </c>
      <c r="K18" s="16" t="n">
        <f aca="false">IF(F18=0,0,J18/F18)</f>
        <v>-0.0666666666666666</v>
      </c>
      <c r="L18" s="7" t="s">
        <v>307</v>
      </c>
    </row>
    <row r="19" customFormat="false" ht="15" hidden="false" customHeight="false" outlineLevel="0" collapsed="false">
      <c r="A19" s="4" t="s">
        <v>64</v>
      </c>
      <c r="B19" s="5" t="str">
        <f aca="false">IFERROR(VLOOKUP(A19,'Portfolio Tracker'!$A$5:$B$16,2,FALSE()),"")</f>
        <v>Bajaj Finserv Super-App Re-platform</v>
      </c>
      <c r="C19" s="6" t="s">
        <v>47</v>
      </c>
      <c r="D19" s="7" t="s">
        <v>298</v>
      </c>
      <c r="E19" s="6" t="s">
        <v>301</v>
      </c>
      <c r="F19" s="11" t="n">
        <v>3</v>
      </c>
      <c r="G19" s="11" t="n">
        <v>3</v>
      </c>
      <c r="H19" s="11" t="n">
        <v>1.6</v>
      </c>
      <c r="I19" s="11" t="n">
        <v>3.1</v>
      </c>
      <c r="J19" s="15" t="n">
        <f aca="false">F19-I19</f>
        <v>-0.1</v>
      </c>
      <c r="K19" s="16" t="n">
        <f aca="false">IF(F19=0,0,J19/F19)</f>
        <v>-0.0333333333333334</v>
      </c>
      <c r="L19" s="7" t="s">
        <v>124</v>
      </c>
    </row>
    <row r="20" customFormat="false" ht="15" hidden="false" customHeight="false" outlineLevel="0" collapsed="false">
      <c r="A20" s="4" t="s">
        <v>70</v>
      </c>
      <c r="B20" s="5" t="str">
        <f aca="false">IFERROR(VLOOKUP(A20,'Portfolio Tracker'!$A$5:$B$16,2,FALSE()),"")</f>
        <v>AML Uplift – Azentio Amlock Upgrade</v>
      </c>
      <c r="C20" s="6" t="s">
        <v>74</v>
      </c>
      <c r="D20" s="7" t="s">
        <v>295</v>
      </c>
      <c r="E20" s="6" t="s">
        <v>308</v>
      </c>
      <c r="F20" s="11" t="n">
        <v>5</v>
      </c>
      <c r="G20" s="11" t="n">
        <v>5</v>
      </c>
      <c r="H20" s="11" t="n">
        <v>4</v>
      </c>
      <c r="I20" s="11" t="n">
        <v>5</v>
      </c>
      <c r="J20" s="15" t="n">
        <f aca="false">F20-I20</f>
        <v>0</v>
      </c>
      <c r="K20" s="16" t="n">
        <f aca="false">IF(F20=0,0,J20/F20)</f>
        <v>0</v>
      </c>
      <c r="L20" s="7" t="s">
        <v>309</v>
      </c>
    </row>
    <row r="21" customFormat="false" ht="15" hidden="false" customHeight="false" outlineLevel="0" collapsed="false">
      <c r="A21" s="4" t="s">
        <v>70</v>
      </c>
      <c r="B21" s="5" t="str">
        <f aca="false">IFERROR(VLOOKUP(A21,'Portfolio Tracker'!$A$5:$B$16,2,FALSE()),"")</f>
        <v>AML Uplift – Azentio Amlock Upgrade</v>
      </c>
      <c r="C21" s="6" t="s">
        <v>47</v>
      </c>
      <c r="D21" s="7" t="s">
        <v>298</v>
      </c>
      <c r="E21" s="6" t="s">
        <v>301</v>
      </c>
      <c r="F21" s="11" t="n">
        <v>2</v>
      </c>
      <c r="G21" s="11" t="n">
        <v>2</v>
      </c>
      <c r="H21" s="11" t="n">
        <v>1.5</v>
      </c>
      <c r="I21" s="11" t="n">
        <v>2</v>
      </c>
      <c r="J21" s="15" t="n">
        <f aca="false">F21-I21</f>
        <v>0</v>
      </c>
      <c r="K21" s="16" t="n">
        <f aca="false">IF(F21=0,0,J21/F21)</f>
        <v>0</v>
      </c>
      <c r="L21" s="7" t="s">
        <v>124</v>
      </c>
    </row>
    <row r="22" customFormat="false" ht="22.35" hidden="false" customHeight="false" outlineLevel="0" collapsed="false">
      <c r="A22" s="4" t="s">
        <v>76</v>
      </c>
      <c r="B22" s="5" t="str">
        <f aca="false">IFERROR(VLOOKUP(A22,'Portfolio Tracker'!$A$5:$B$16,2,FALSE()),"")</f>
        <v>Green Finance – Solar &amp; EV Financing Onboarding</v>
      </c>
      <c r="C22" s="6" t="s">
        <v>47</v>
      </c>
      <c r="D22" s="7" t="s">
        <v>298</v>
      </c>
      <c r="E22" s="6" t="s">
        <v>301</v>
      </c>
      <c r="F22" s="11" t="n">
        <v>3</v>
      </c>
      <c r="G22" s="11" t="n">
        <v>1</v>
      </c>
      <c r="H22" s="11" t="n">
        <v>0.4</v>
      </c>
      <c r="I22" s="11" t="n">
        <v>3</v>
      </c>
      <c r="J22" s="15" t="n">
        <f aca="false">F22-I22</f>
        <v>0</v>
      </c>
      <c r="K22" s="16" t="n">
        <f aca="false">IF(F22=0,0,J22/F22)</f>
        <v>0</v>
      </c>
      <c r="L22" s="7" t="s">
        <v>124</v>
      </c>
    </row>
    <row r="23" customFormat="false" ht="22.35" hidden="false" customHeight="false" outlineLevel="0" collapsed="false">
      <c r="A23" s="4" t="s">
        <v>76</v>
      </c>
      <c r="B23" s="5" t="str">
        <f aca="false">IFERROR(VLOOKUP(A23,'Portfolio Tracker'!$A$5:$B$16,2,FALSE()),"")</f>
        <v>Green Finance – Solar &amp; EV Financing Onboarding</v>
      </c>
      <c r="C23" s="6" t="s">
        <v>310</v>
      </c>
      <c r="D23" s="7" t="s">
        <v>295</v>
      </c>
      <c r="E23" s="6" t="s">
        <v>311</v>
      </c>
      <c r="F23" s="11" t="n">
        <v>2</v>
      </c>
      <c r="G23" s="11" t="n">
        <v>0</v>
      </c>
      <c r="H23" s="11" t="n">
        <v>0</v>
      </c>
      <c r="I23" s="11" t="n">
        <v>2</v>
      </c>
      <c r="J23" s="15" t="n">
        <f aca="false">F23-I23</f>
        <v>0</v>
      </c>
      <c r="K23" s="16" t="n">
        <f aca="false">IF(F23=0,0,J23/F23)</f>
        <v>0</v>
      </c>
      <c r="L23" s="7" t="s">
        <v>124</v>
      </c>
    </row>
    <row r="24" customFormat="false" ht="15" hidden="false" customHeight="false" outlineLevel="0" collapsed="false">
      <c r="A24" s="4" t="s">
        <v>80</v>
      </c>
      <c r="B24" s="5" t="str">
        <f aca="false">IFERROR(VLOOKUP(A24,'Portfolio Tracker'!$A$5:$B$16,2,FALSE()),"")</f>
        <v>Digital Loan Origination System Upgrade</v>
      </c>
      <c r="C24" s="6" t="s">
        <v>47</v>
      </c>
      <c r="D24" s="7" t="s">
        <v>298</v>
      </c>
      <c r="E24" s="6" t="s">
        <v>301</v>
      </c>
      <c r="F24" s="11" t="n">
        <v>6</v>
      </c>
      <c r="G24" s="11" t="n">
        <v>6</v>
      </c>
      <c r="H24" s="11" t="n">
        <v>4</v>
      </c>
      <c r="I24" s="11" t="n">
        <v>6.5</v>
      </c>
      <c r="J24" s="15" t="n">
        <f aca="false">F24-I24</f>
        <v>-0.5</v>
      </c>
      <c r="K24" s="16" t="n">
        <f aca="false">IF(F24=0,0,J24/F24)</f>
        <v>-0.0833333333333333</v>
      </c>
      <c r="L24" s="7" t="s">
        <v>124</v>
      </c>
    </row>
    <row r="25" customFormat="false" ht="15" hidden="false" customHeight="false" outlineLevel="0" collapsed="false">
      <c r="A25" s="4" t="s">
        <v>80</v>
      </c>
      <c r="B25" s="5" t="str">
        <f aca="false">IFERROR(VLOOKUP(A25,'Portfolio Tracker'!$A$5:$B$16,2,FALSE()),"")</f>
        <v>Digital Loan Origination System Upgrade</v>
      </c>
      <c r="C25" s="6" t="s">
        <v>29</v>
      </c>
      <c r="D25" s="7" t="s">
        <v>295</v>
      </c>
      <c r="E25" s="6" t="s">
        <v>312</v>
      </c>
      <c r="F25" s="11" t="n">
        <v>4</v>
      </c>
      <c r="G25" s="11" t="n">
        <v>4</v>
      </c>
      <c r="H25" s="11" t="n">
        <v>2.5</v>
      </c>
      <c r="I25" s="11" t="n">
        <v>4.4</v>
      </c>
      <c r="J25" s="15" t="n">
        <f aca="false">F25-I25</f>
        <v>-0.4</v>
      </c>
      <c r="K25" s="16" t="n">
        <f aca="false">IF(F25=0,0,J25/F25)</f>
        <v>-0.1</v>
      </c>
      <c r="L25" s="7" t="s">
        <v>313</v>
      </c>
    </row>
    <row r="26" customFormat="false" ht="15" hidden="false" customHeight="false" outlineLevel="0" collapsed="false">
      <c r="A26" s="4" t="s">
        <v>84</v>
      </c>
      <c r="B26" s="5" t="str">
        <f aca="false">IFERROR(VLOOKUP(A26,'Portfolio Tracker'!$A$5:$B$16,2,FALSE()),"")</f>
        <v>Observability Rollout – New Relic APM</v>
      </c>
      <c r="C26" s="6" t="s">
        <v>86</v>
      </c>
      <c r="D26" s="7" t="s">
        <v>298</v>
      </c>
      <c r="E26" s="6" t="s">
        <v>314</v>
      </c>
      <c r="F26" s="11" t="n">
        <v>2.5</v>
      </c>
      <c r="G26" s="11" t="n">
        <v>2.5</v>
      </c>
      <c r="H26" s="11" t="n">
        <v>2.4</v>
      </c>
      <c r="I26" s="11" t="n">
        <v>2.5</v>
      </c>
      <c r="J26" s="15" t="n">
        <f aca="false">F26-I26</f>
        <v>0</v>
      </c>
      <c r="K26" s="16" t="n">
        <f aca="false">IF(F26=0,0,J26/F26)</f>
        <v>0</v>
      </c>
      <c r="L26" s="7" t="s">
        <v>315</v>
      </c>
    </row>
    <row r="27" customFormat="false" ht="15" hidden="false" customHeight="false" outlineLevel="0" collapsed="false">
      <c r="A27" s="4" t="s">
        <v>84</v>
      </c>
      <c r="B27" s="5" t="str">
        <f aca="false">IFERROR(VLOOKUP(A27,'Portfolio Tracker'!$A$5:$B$16,2,FALSE()),"")</f>
        <v>Observability Rollout – New Relic APM</v>
      </c>
      <c r="C27" s="6" t="s">
        <v>47</v>
      </c>
      <c r="D27" s="7" t="s">
        <v>298</v>
      </c>
      <c r="E27" s="6" t="s">
        <v>301</v>
      </c>
      <c r="F27" s="11" t="n">
        <v>1.5</v>
      </c>
      <c r="G27" s="11" t="n">
        <v>1.5</v>
      </c>
      <c r="H27" s="11" t="n">
        <v>1.4</v>
      </c>
      <c r="I27" s="11" t="n">
        <v>1.5</v>
      </c>
      <c r="J27" s="15" t="n">
        <f aca="false">F27-I27</f>
        <v>0</v>
      </c>
      <c r="K27" s="16" t="n">
        <f aca="false">IF(F27=0,0,J27/F27)</f>
        <v>0</v>
      </c>
      <c r="L27" s="7" t="s">
        <v>124</v>
      </c>
    </row>
    <row r="28" customFormat="false" ht="22.35" hidden="false" customHeight="false" outlineLevel="0" collapsed="false">
      <c r="A28" s="4" t="s">
        <v>88</v>
      </c>
      <c r="B28" s="5" t="str">
        <f aca="false">IFERROR(VLOOKUP(A28,'Portfolio Tracker'!$A$5:$B$16,2,FALSE()),"")</f>
        <v>Adobe Experience Cloud – Campaign Personalisation</v>
      </c>
      <c r="C28" s="6" t="s">
        <v>91</v>
      </c>
      <c r="D28" s="7" t="s">
        <v>295</v>
      </c>
      <c r="E28" s="6" t="s">
        <v>296</v>
      </c>
      <c r="F28" s="11" t="n">
        <v>6</v>
      </c>
      <c r="G28" s="11" t="n">
        <v>6</v>
      </c>
      <c r="H28" s="11" t="n">
        <v>3</v>
      </c>
      <c r="I28" s="11" t="n">
        <v>6</v>
      </c>
      <c r="J28" s="15" t="n">
        <f aca="false">F28-I28</f>
        <v>0</v>
      </c>
      <c r="K28" s="16" t="n">
        <f aca="false">IF(F28=0,0,J28/F28)</f>
        <v>0</v>
      </c>
      <c r="L28" s="7" t="s">
        <v>316</v>
      </c>
    </row>
    <row r="29" customFormat="false" ht="22.35" hidden="false" customHeight="false" outlineLevel="0" collapsed="false">
      <c r="A29" s="4" t="s">
        <v>88</v>
      </c>
      <c r="B29" s="5" t="str">
        <f aca="false">IFERROR(VLOOKUP(A29,'Portfolio Tracker'!$A$5:$B$16,2,FALSE()),"")</f>
        <v>Adobe Experience Cloud – Campaign Personalisation</v>
      </c>
      <c r="C29" s="6" t="s">
        <v>47</v>
      </c>
      <c r="D29" s="7" t="s">
        <v>298</v>
      </c>
      <c r="E29" s="6" t="s">
        <v>301</v>
      </c>
      <c r="F29" s="11" t="n">
        <v>2.5</v>
      </c>
      <c r="G29" s="11" t="n">
        <v>2.5</v>
      </c>
      <c r="H29" s="11" t="n">
        <v>1.3</v>
      </c>
      <c r="I29" s="11" t="n">
        <v>2.5</v>
      </c>
      <c r="J29" s="15" t="n">
        <f aca="false">F29-I29</f>
        <v>0</v>
      </c>
      <c r="K29" s="16" t="n">
        <f aca="false">IF(F29=0,0,J29/F29)</f>
        <v>0</v>
      </c>
      <c r="L29" s="7" t="s">
        <v>124</v>
      </c>
    </row>
    <row r="30" customFormat="false" ht="15" hidden="false" customHeight="false" outlineLevel="0" collapsed="false">
      <c r="A30" s="4" t="s">
        <v>93</v>
      </c>
      <c r="B30" s="5" t="str">
        <f aca="false">IFERROR(VLOOKUP(A30,'Portfolio Tracker'!$A$5:$B$16,2,FALSE()),"")</f>
        <v>Customer 360 Data Platform</v>
      </c>
      <c r="C30" s="6" t="s">
        <v>47</v>
      </c>
      <c r="D30" s="7" t="s">
        <v>298</v>
      </c>
      <c r="E30" s="6" t="s">
        <v>301</v>
      </c>
      <c r="F30" s="11" t="n">
        <v>8</v>
      </c>
      <c r="G30" s="11" t="n">
        <v>8</v>
      </c>
      <c r="H30" s="11" t="n">
        <v>4.5</v>
      </c>
      <c r="I30" s="11" t="n">
        <v>10</v>
      </c>
      <c r="J30" s="15" t="n">
        <f aca="false">F30-I30</f>
        <v>-2</v>
      </c>
      <c r="K30" s="16" t="n">
        <f aca="false">IF(F30=0,0,J30/F30)</f>
        <v>-0.25</v>
      </c>
      <c r="L30" s="7" t="s">
        <v>124</v>
      </c>
    </row>
    <row r="31" customFormat="false" ht="15" hidden="false" customHeight="false" outlineLevel="0" collapsed="false">
      <c r="A31" s="4" t="s">
        <v>93</v>
      </c>
      <c r="B31" s="5" t="str">
        <f aca="false">IFERROR(VLOOKUP(A31,'Portfolio Tracker'!$A$5:$B$16,2,FALSE()),"")</f>
        <v>Customer 360 Data Platform</v>
      </c>
      <c r="C31" s="6" t="s">
        <v>68</v>
      </c>
      <c r="D31" s="7" t="s">
        <v>295</v>
      </c>
      <c r="E31" s="6" t="s">
        <v>296</v>
      </c>
      <c r="F31" s="11" t="n">
        <v>7</v>
      </c>
      <c r="G31" s="11" t="n">
        <v>7</v>
      </c>
      <c r="H31" s="11" t="n">
        <v>3.8</v>
      </c>
      <c r="I31" s="11" t="n">
        <v>8.4</v>
      </c>
      <c r="J31" s="15" t="n">
        <f aca="false">F31-I31</f>
        <v>-1.4</v>
      </c>
      <c r="K31" s="16" t="n">
        <f aca="false">IF(F31=0,0,J31/F31)</f>
        <v>-0.2</v>
      </c>
      <c r="L31" s="7" t="s">
        <v>317</v>
      </c>
    </row>
    <row r="32" customFormat="false" ht="15" hidden="false" customHeight="false" outlineLevel="0" collapsed="false">
      <c r="A32" s="4" t="s">
        <v>93</v>
      </c>
      <c r="B32" s="5" t="str">
        <f aca="false">IFERROR(VLOOKUP(A32,'Portfolio Tracker'!$A$5:$B$16,2,FALSE()),"")</f>
        <v>Customer 360 Data Platform</v>
      </c>
      <c r="C32" s="6" t="s">
        <v>303</v>
      </c>
      <c r="D32" s="7" t="s">
        <v>298</v>
      </c>
      <c r="E32" s="6" t="s">
        <v>304</v>
      </c>
      <c r="F32" s="11" t="n">
        <v>2.5</v>
      </c>
      <c r="G32" s="11" t="n">
        <v>0</v>
      </c>
      <c r="H32" s="11" t="n">
        <v>1.4</v>
      </c>
      <c r="I32" s="11" t="n">
        <v>2.9</v>
      </c>
      <c r="J32" s="15" t="n">
        <f aca="false">F32-I32</f>
        <v>-0.4</v>
      </c>
      <c r="K32" s="16" t="n">
        <f aca="false">IF(F32=0,0,J32/F32)</f>
        <v>-0.16</v>
      </c>
      <c r="L32" s="7" t="s">
        <v>124</v>
      </c>
    </row>
    <row r="33" customFormat="false" ht="15" hidden="false" customHeight="false" outlineLevel="0" collapsed="false">
      <c r="A33" s="17"/>
      <c r="B33" s="18" t="s">
        <v>318</v>
      </c>
      <c r="C33" s="19"/>
      <c r="D33" s="19"/>
      <c r="E33" s="19"/>
      <c r="F33" s="20" t="n">
        <f aca="false">SUM(F5:F32)</f>
        <v>143</v>
      </c>
      <c r="G33" s="20" t="n">
        <f aca="false">SUM(G5:G32)</f>
        <v>123</v>
      </c>
      <c r="H33" s="20" t="n">
        <f aca="false">SUM(H5:H32)</f>
        <v>88.5</v>
      </c>
      <c r="I33" s="20" t="n">
        <f aca="false">SUM(I5:I32)</f>
        <v>156.4</v>
      </c>
      <c r="J33" s="20" t="n">
        <f aca="false">SUM(J5:J32)</f>
        <v>-13.4</v>
      </c>
      <c r="K33" s="21" t="n">
        <f aca="false">IF(F33=0,0,J33/F33)</f>
        <v>-0.0937062937062937</v>
      </c>
      <c r="L33" s="19"/>
    </row>
    <row r="35" customFormat="false" ht="15" hidden="false" customHeight="false" outlineLevel="0" collapsed="false">
      <c r="A35" s="13" t="s">
        <v>319</v>
      </c>
    </row>
  </sheetData>
  <autoFilter ref="A4:L32"/>
  <mergeCells count="2">
    <mergeCell ref="A1:L1"/>
    <mergeCell ref="A2:L2"/>
  </mergeCells>
  <conditionalFormatting sqref="J5:J32">
    <cfRule type="cellIs" priority="2" operator="lessThan" aboveAverage="0" equalAverage="0" bottom="0" percent="0" rank="0" text="" dxfId="10">
      <formula>0</formula>
    </cfRule>
  </conditionalFormatting>
  <conditionalFormatting sqref="K5:K32">
    <cfRule type="cellIs" priority="3" operator="less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2026-06-15T00:27:41Z</dcterms:created>
  <dc:creator>openpyxl</dc:creator>
  <dc:description/>
  <dc:language>en-US</dc:language>
  <cp:lastModifiedBy/>
  <dcterms:modified xsi:type="dcterms:W3CDTF">2026-06-15T00:27:41Z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